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nked Scorecard" sheetId="1" state="visible" r:id="rId3"/>
    <sheet name="Criteria &amp; Legen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<sst xmlns="http://schemas.openxmlformats.org/spreadsheetml/2006/main" count="808" uniqueCount="444">
  <si>
    <t xml:space="preserve">PassportCard Builder — Full Consulting &amp; Regulatory Entity Scorecard (Ranked, with URLs &amp; Sub-Domains)</t>
  </si>
  <si>
    <t xml:space="preserve">98 consulting entities + 31 regulatory authorities across IL, DE, EU, UK, US, AU. Sorted by score within each domain.</t>
  </si>
  <si>
    <t xml:space="preserve">LAYER 1 — GLOBAL STRATEGIC CONSULTING (Insurance)</t>
  </si>
  <si>
    <t xml:space="preserve">#</t>
  </si>
  <si>
    <t xml:space="preserve">Entity</t>
  </si>
  <si>
    <t xml:space="preserve">Region</t>
  </si>
  <si>
    <t xml:space="preserve">Content
(1-10)</t>
  </si>
  <si>
    <t xml:space="preserve">Access.
(1-10)</t>
  </si>
  <si>
    <t xml:space="preserve">Recency
(1-10)</t>
  </si>
  <si>
    <t xml:space="preserve">Action.
(1-10)</t>
  </si>
  <si>
    <t xml:space="preserve">Total
(/40)</t>
  </si>
  <si>
    <t xml:space="preserve">Score
(/10)</t>
  </si>
  <si>
    <t xml:space="preserve">Tier</t>
  </si>
  <si>
    <t xml:space="preserve">Knowledge Center URL</t>
  </si>
  <si>
    <t xml:space="preserve">Niche Sub-Domains</t>
  </si>
  <si>
    <t xml:space="preserve">Deloitte Insights</t>
  </si>
  <si>
    <t xml:space="preserve">Global</t>
  </si>
  <si>
    <t xml:space="preserve">★★★</t>
  </si>
  <si>
    <t xml:space="preserve">https://www.deloitte.com/us/en/insights/industry/insurance.html</t>
  </si>
  <si>
    <t xml:space="preserve">Global Outlook; Digital Maturity; GenAI; Tech Trends; M&amp;A</t>
  </si>
  <si>
    <t xml:space="preserve">McKinsey &amp; Company</t>
  </si>
  <si>
    <t xml:space="preserve">https://www.mckinsey.com/industries/financial-services/our-insights</t>
  </si>
  <si>
    <t xml:space="preserve">Strategy; Insurance Ops; AI; Digital Transformation; Claims</t>
  </si>
  <si>
    <t xml:space="preserve">BCG</t>
  </si>
  <si>
    <t xml:space="preserve">https://www.bcg.com/industries/insurance/insights</t>
  </si>
  <si>
    <t xml:space="preserve">Strategy; TSR/Value Creation; Customer Growth; AI Scaling</t>
  </si>
  <si>
    <t xml:space="preserve">EY Insights</t>
  </si>
  <si>
    <t xml:space="preserve">★★</t>
  </si>
  <si>
    <t xml:space="preserve">https://www.ey.com/en_gl/insights/insurance</t>
  </si>
  <si>
    <t xml:space="preserve">Global Outlook; Protection Gaps; Trust; Customer Archetypes</t>
  </si>
  <si>
    <t xml:space="preserve">Bain &amp; Company</t>
  </si>
  <si>
    <t xml:space="preserve">https://www.bain.com/insights/industry-insights/insurance-insights/</t>
  </si>
  <si>
    <t xml:space="preserve">Protection Gaps; Customer Loyalty; AI ROI; Risk Prevention</t>
  </si>
  <si>
    <t xml:space="preserve">Oliver Wyman</t>
  </si>
  <si>
    <t xml:space="preserve">https://www.oliverwyman.com/our-expertise/insights.html</t>
  </si>
  <si>
    <t xml:space="preserve">Actuarial; Insurance Redefined; AI; Loyalty Programs</t>
  </si>
  <si>
    <t xml:space="preserve">LAYER 2 — SPECIALIZED INSURANCE / BEHAVIORAL / ACTUARIAL</t>
  </si>
  <si>
    <t xml:space="preserve">WTW</t>
  </si>
  <si>
    <t xml:space="preserve">https://www.wtwco.com/en-us/insights</t>
  </si>
  <si>
    <t xml:space="preserve">Marketplace Realities; NatCat; Cyber; Rate Predictions</t>
  </si>
  <si>
    <t xml:space="preserve">Aon</t>
  </si>
  <si>
    <t xml:space="preserve">https://www.aon.com/en/insights</t>
  </si>
  <si>
    <t xml:space="preserve">Quarterly Market Intelligence; Cyber Risk; Climate; Analytics</t>
  </si>
  <si>
    <t xml:space="preserve">Milliman</t>
  </si>
  <si>
    <t xml:space="preserve">https://www.milliman.com/en/insight</t>
  </si>
  <si>
    <t xml:space="preserve">Actuarial; Health Cost Guidelines; LTC; Experience Studies</t>
  </si>
  <si>
    <t xml:space="preserve">Capco</t>
  </si>
  <si>
    <t xml:space="preserve">★</t>
  </si>
  <si>
    <t xml:space="preserve">https://www.capco.com/Insights</t>
  </si>
  <si>
    <t xml:space="preserve">Journal of Financial Transformation; Insurance Survey; Payments</t>
  </si>
  <si>
    <t xml:space="preserve">Mercer</t>
  </si>
  <si>
    <t xml:space="preserve">https://www.mercer.com/insights.html</t>
  </si>
  <si>
    <t xml:space="preserve">Employee Benefits; Actuarial; Health Cost; Workforce Strategy</t>
  </si>
  <si>
    <t xml:space="preserve">BIT (Behavioural Insights)</t>
  </si>
  <si>
    <t xml:space="preserve">https://www.bi.team/our-thinking/</t>
  </si>
  <si>
    <t xml:space="preserve">Behavioral Economics; EAST Framework; Nudge Design</t>
  </si>
  <si>
    <t xml:space="preserve">Korn Ferry</t>
  </si>
  <si>
    <t xml:space="preserve">https://www.kornferry.com/insights</t>
  </si>
  <si>
    <t xml:space="preserve">Org Psychology; Leadership; Talent Strategy; Workforce</t>
  </si>
  <si>
    <t xml:space="preserve">ideas42</t>
  </si>
  <si>
    <t xml:space="preserve">—</t>
  </si>
  <si>
    <t xml:space="preserve">https://www.ideas42.org/insights/</t>
  </si>
  <si>
    <t xml:space="preserve">Behavioral Design; Consumer Finance; Financial Inclusion</t>
  </si>
  <si>
    <t xml:space="preserve">ACTUARIAL MODELING &amp; PRICING</t>
  </si>
  <si>
    <t xml:space="preserve">WTW (Actuarial)</t>
  </si>
  <si>
    <t xml:space="preserve">Actuarial; Risk Modeling; Insurance Pricing; Radar AI</t>
  </si>
  <si>
    <t xml:space="preserve">Milliman (Actuarial)</t>
  </si>
  <si>
    <t xml:space="preserve">Premier Independent; Health Cost Guidelines; AXIS; VA Studies</t>
  </si>
  <si>
    <t xml:space="preserve">Oliver Wyman Actuarial</t>
  </si>
  <si>
    <t xml:space="preserve">300+ Actuaries; Pricing; Reserving; Capital; Shipyard BI</t>
  </si>
  <si>
    <t xml:space="preserve">EY Actuarial Services</t>
  </si>
  <si>
    <t xml:space="preserve">https://www.ey.com/en_us/services/consulting/actuarial-services</t>
  </si>
  <si>
    <t xml:space="preserve">IFRS 17; Solvency II; Pricing; Reserving</t>
  </si>
  <si>
    <t xml:space="preserve">Perr &amp; Knight</t>
  </si>
  <si>
    <t xml:space="preserve">https://www.perrknight.com/resources/</t>
  </si>
  <si>
    <t xml:space="preserve">Specialized P&amp;C/A&amp;H; 30+ Fellows; State Filings; PK1Cloud</t>
  </si>
  <si>
    <t xml:space="preserve">Finity Consulting</t>
  </si>
  <si>
    <t xml:space="preserve">AU</t>
  </si>
  <si>
    <t xml:space="preserve">https://www.finity.com.au/insights/</t>
  </si>
  <si>
    <t xml:space="preserve">Australia's Largest Independent Actuarial; APRA-Aligned</t>
  </si>
  <si>
    <t xml:space="preserve">Deloitte Actuarial DE</t>
  </si>
  <si>
    <t xml:space="preserve">DE</t>
  </si>
  <si>
    <t xml:space="preserve">https://www.deloitte.com/de/de/Industries/financial-services/insurance.html</t>
  </si>
  <si>
    <t xml:space="preserve">Solvency II; IFRS 17; German Market Pricing</t>
  </si>
  <si>
    <t xml:space="preserve">KPMG DE Insurance</t>
  </si>
  <si>
    <t xml:space="preserve">https://kpmg.com/de/en/home/insights.html</t>
  </si>
  <si>
    <t xml:space="preserve">Regulatory Compliance; Pricing; Modeling</t>
  </si>
  <si>
    <t xml:space="preserve">Deloitte Actuaries AU</t>
  </si>
  <si>
    <t xml:space="preserve">https://www.deloitte.com/au/en/services/consulting/services/actuaries-consultants.html</t>
  </si>
  <si>
    <t xml:space="preserve">Insurance; Superannuation; Investment (AU)</t>
  </si>
  <si>
    <t xml:space="preserve">WTW Germany</t>
  </si>
  <si>
    <t xml:space="preserve">https://www.wtwco.com/de-de/insights</t>
  </si>
  <si>
    <t xml:space="preserve">Actuarial Consulting; Risk Management; Capital</t>
  </si>
  <si>
    <t xml:space="preserve">Taylor Fry</t>
  </si>
  <si>
    <t xml:space="preserve">https://www.taylorfry.com.au/articles-media/</t>
  </si>
  <si>
    <t xml:space="preserve">Insurance; Health; Social Policy Analytics (AU)</t>
  </si>
  <si>
    <t xml:space="preserve">EY Israel Actuarial</t>
  </si>
  <si>
    <t xml:space="preserve">IL</t>
  </si>
  <si>
    <t xml:space="preserve">https://www.ey.com/en_il/insurance</t>
  </si>
  <si>
    <t xml:space="preserve">Israeli Insurance Market; Solvency Equivalent</t>
  </si>
  <si>
    <t xml:space="preserve">Deloitte Israel</t>
  </si>
  <si>
    <t xml:space="preserve">https://www.deloitte.com/il/en/insights.html</t>
  </si>
  <si>
    <t xml:space="preserve">Insurance Advisory; Pricing; Financial Risk</t>
  </si>
  <si>
    <t xml:space="preserve">PwC Israel</t>
  </si>
  <si>
    <t xml:space="preserve">https://www.pwc.com/il/en/publications.html</t>
  </si>
  <si>
    <t xml:space="preserve">Regulatory Compliance; Risk Assessment</t>
  </si>
  <si>
    <t xml:space="preserve">REGULATORY COMPLIANCE (Insurance &amp; General)</t>
  </si>
  <si>
    <t xml:space="preserve">Deloitte Regulatory</t>
  </si>
  <si>
    <t xml:space="preserve">https://www.deloitte.com/global/en/services/risk-advisory.html</t>
  </si>
  <si>
    <t xml:space="preserve">IFRS 17; Solvency II; AML/KYC; Digital Maturity</t>
  </si>
  <si>
    <t xml:space="preserve">KPMG Insurance</t>
  </si>
  <si>
    <t xml:space="preserve">https://kpmg.com/xx/en/our-insights.html</t>
  </si>
  <si>
    <t xml:space="preserve">Regulatory Frameworks; Capital Requirements</t>
  </si>
  <si>
    <t xml:space="preserve">PwC Insurance Regulatory</t>
  </si>
  <si>
    <t xml:space="preserve">https://www.pwc.com/us/en/industries/financial-services/insurance/regulatory.html</t>
  </si>
  <si>
    <t xml:space="preserve">NAIC; Multi-State Filing; Global Insurance Regulatory</t>
  </si>
  <si>
    <t xml:space="preserve">Perr &amp; Knight Compliance</t>
  </si>
  <si>
    <t xml:space="preserve">State Filings; Market Conduct; Operational Compliance</t>
  </si>
  <si>
    <t xml:space="preserve">FTI Consulting</t>
  </si>
  <si>
    <t xml:space="preserve">https://www.fticonsulting.com/insights</t>
  </si>
  <si>
    <t xml:space="preserve">Governance; Regulation; Ex-Regulatory Executives</t>
  </si>
  <si>
    <t xml:space="preserve">KPMG DE (BaFin)</t>
  </si>
  <si>
    <t xml:space="preserve">BaFin; Solvency II; IDD; GDPR Compliance</t>
  </si>
  <si>
    <t xml:space="preserve">Deloitte DE Insurance</t>
  </si>
  <si>
    <t xml:space="preserve">EU/German Insurance Directives</t>
  </si>
  <si>
    <t xml:space="preserve">KPMG AU Insurance</t>
  </si>
  <si>
    <t xml:space="preserve">https://kpmg.com/au/en/home/insights.html</t>
  </si>
  <si>
    <t xml:space="preserve">APRA Requirements; AFSL; Prudential Standards</t>
  </si>
  <si>
    <t xml:space="preserve">Deloitte AU Regulatory</t>
  </si>
  <si>
    <t xml:space="preserve">https://www.deloitte.com/au/en/insights.html</t>
  </si>
  <si>
    <t xml:space="preserve">APRA; ASIC; Insurance Prudential Framework</t>
  </si>
  <si>
    <t xml:space="preserve">Rödl &amp; Partner</t>
  </si>
  <si>
    <t xml:space="preserve">https://www.roedl.com/en-gb/insights</t>
  </si>
  <si>
    <t xml:space="preserve">Insurance Regulation; Cross-Border Advisory</t>
  </si>
  <si>
    <t xml:space="preserve">MinterEllison Consulting</t>
  </si>
  <si>
    <t xml:space="preserve">https://www.minterellison.com/insights</t>
  </si>
  <si>
    <t xml:space="preserve">Insurance Regulation; AFSL; Compliance (AU)</t>
  </si>
  <si>
    <t xml:space="preserve">PwC Israel Regulatory</t>
  </si>
  <si>
    <t xml:space="preserve">Capital Market Authority; Insurance Regulation</t>
  </si>
  <si>
    <t xml:space="preserve">EY Israel Insurance</t>
  </si>
  <si>
    <t xml:space="preserve">https://www.ey.com/en_il/financial-services</t>
  </si>
  <si>
    <t xml:space="preserve">Local Regulatory Framework; Risk Management</t>
  </si>
  <si>
    <t xml:space="preserve">BDO Israel</t>
  </si>
  <si>
    <t xml:space="preserve">https://www.bdo.co.il/en-gb/insights</t>
  </si>
  <si>
    <t xml:space="preserve">Regulatory Compliance; Insurance Advisory</t>
  </si>
  <si>
    <t xml:space="preserve">BUSINESS PLAN WRITING</t>
  </si>
  <si>
    <t xml:space="preserve">Roland Berger</t>
  </si>
  <si>
    <t xml:space="preserve">https://www.rolandberger.com/en/Insights/</t>
  </si>
  <si>
    <t xml:space="preserve">Strategy; Financial Modeling; AI Transformation; European Markets</t>
  </si>
  <si>
    <t xml:space="preserve">LivePlan</t>
  </si>
  <si>
    <t xml:space="preserve">https://www.liveplan.com/blog</t>
  </si>
  <si>
    <t xml:space="preserve">SaaS Platform; Financial Forecasting; Benchmarks; Lean Planning</t>
  </si>
  <si>
    <t xml:space="preserve">KPMG Australia</t>
  </si>
  <si>
    <t xml:space="preserve">Business Planning; Financial Advisory; Strategy</t>
  </si>
  <si>
    <t xml:space="preserve">Deloitte Australia</t>
  </si>
  <si>
    <t xml:space="preserve">Business Planning; Financial Modeling; Market Entry</t>
  </si>
  <si>
    <t xml:space="preserve">Simon-Kucher</t>
  </si>
  <si>
    <t xml:space="preserve">https://www.simon-kucher.com/en/insights</t>
  </si>
  <si>
    <t xml:space="preserve">Pricing Strategy; Growth; Business Model; Monetization</t>
  </si>
  <si>
    <t xml:space="preserve">ProjectionHub</t>
  </si>
  <si>
    <t xml:space="preserve">https://www.projectionhub.com/blog</t>
  </si>
  <si>
    <t xml:space="preserve">Financial Projection Templates; Startup Forecasting</t>
  </si>
  <si>
    <t xml:space="preserve">PwC Australia</t>
  </si>
  <si>
    <t xml:space="preserve">https://www.pwc.com.au/publications.html</t>
  </si>
  <si>
    <t xml:space="preserve">Strategy&amp;; Business Plans; Financial Projections</t>
  </si>
  <si>
    <t xml:space="preserve">BCG Israel</t>
  </si>
  <si>
    <t xml:space="preserve">https://www.bcg.com/israel</t>
  </si>
  <si>
    <t xml:space="preserve">Full Strategy; Tel Aviv Office</t>
  </si>
  <si>
    <t xml:space="preserve">Growthink</t>
  </si>
  <si>
    <t xml:space="preserve">https://www.growthink.com/businessplan/help-center</t>
  </si>
  <si>
    <t xml:space="preserve">400+ Industry Templates; Business Plan Structure</t>
  </si>
  <si>
    <t xml:space="preserve">Cayenne Consulting</t>
  </si>
  <si>
    <t xml:space="preserve">https://www.caycon.com/resources</t>
  </si>
  <si>
    <t xml:space="preserve">Business Plans; Pitch Decks; Financial Forecasts</t>
  </si>
  <si>
    <t xml:space="preserve">OGSCapital</t>
  </si>
  <si>
    <t xml:space="preserve">https://www.ogscapital.com/article/</t>
  </si>
  <si>
    <t xml:space="preserve">Strategic Business Plans; Ex-Big Four Analysts; 120+ Industries</t>
  </si>
  <si>
    <t xml:space="preserve">Berylls Strategy</t>
  </si>
  <si>
    <t xml:space="preserve">https://www.berylls.com/en/insights/</t>
  </si>
  <si>
    <t xml:space="preserve">Mobility; Tech Strategy; Munich-based</t>
  </si>
  <si>
    <t xml:space="preserve">TASC Consulting</t>
  </si>
  <si>
    <t xml:space="preserve">https://www.tasc-consulting.com/insights</t>
  </si>
  <si>
    <t xml:space="preserve">Strategic; Digital; Product; Data &amp; AI Consulting (Israel)</t>
  </si>
  <si>
    <t xml:space="preserve">Shaldor</t>
  </si>
  <si>
    <t xml:space="preserve">https://www.shaldor.com/publications</t>
  </si>
  <si>
    <t xml:space="preserve">Israeli Competitive Strategy; Management Consulting</t>
  </si>
  <si>
    <t xml:space="preserve">LEGAL ADVICE</t>
  </si>
  <si>
    <t xml:space="preserve">Baker McKenzie</t>
  </si>
  <si>
    <t xml:space="preserve">https://www.bakermckenzie.com/en/insight</t>
  </si>
  <si>
    <t xml:space="preserve">IP; Data Privacy; Tech Transactions; 50+ Jurisdictions</t>
  </si>
  <si>
    <t xml:space="preserve">DLA Piper</t>
  </si>
  <si>
    <t xml:space="preserve">https://www.dlapiper.com/en/insights</t>
  </si>
  <si>
    <t xml:space="preserve">Patent Prosecution; IP Strategy; Privacy/Data Protection</t>
  </si>
  <si>
    <t xml:space="preserve">Bird &amp; Bird</t>
  </si>
  <si>
    <t xml:space="preserve">https://www.twobirds.com/en/insights</t>
  </si>
  <si>
    <t xml:space="preserve">Technology; IP; Data Protection; InsurTech; 30+ Offices</t>
  </si>
  <si>
    <t xml:space="preserve">Herbert Smith Freehills</t>
  </si>
  <si>
    <t xml:space="preserve">https://www.herbertsmithfreehills.com/insights</t>
  </si>
  <si>
    <t xml:space="preserve">Patents; Privacy; Tech Regulation; APAC</t>
  </si>
  <si>
    <t xml:space="preserve">CMS Germany</t>
  </si>
  <si>
    <t xml:space="preserve">https://cms.law/en/deu/insight</t>
  </si>
  <si>
    <t xml:space="preserve">Patents; Data Protection; Tech Transactions</t>
  </si>
  <si>
    <t xml:space="preserve">Hogan Lovells (DE)</t>
  </si>
  <si>
    <t xml:space="preserve">https://www.hoganlovells.com/en/knowledge</t>
  </si>
  <si>
    <t xml:space="preserve">IP; Privacy; Tech Law; Frankfurt/Munich</t>
  </si>
  <si>
    <t xml:space="preserve">Allens (Linklaters)</t>
  </si>
  <si>
    <t xml:space="preserve">https://www.allens.com.au/insights-news/</t>
  </si>
  <si>
    <t xml:space="preserve">IP; Data Protection; Technology Law (AU)</t>
  </si>
  <si>
    <t xml:space="preserve">Freshfields</t>
  </si>
  <si>
    <t xml:space="preserve">https://www.freshfields.com/en-gb/our-thinking/</t>
  </si>
  <si>
    <t xml:space="preserve">German IP; GDPR; Regulatory Compliance</t>
  </si>
  <si>
    <t xml:space="preserve">MinterEllison</t>
  </si>
  <si>
    <t xml:space="preserve">IP; Cybersecurity; Privacy; Data Compliance (AU)</t>
  </si>
  <si>
    <t xml:space="preserve">Hunton Andrews Kurth</t>
  </si>
  <si>
    <t xml:space="preserve">https://www.huntonak.com/insights</t>
  </si>
  <si>
    <t xml:space="preserve">Privacy/Cybersecurity; 1,400-page Privacy Deskbook</t>
  </si>
  <si>
    <t xml:space="preserve">Fish &amp; Richardson</t>
  </si>
  <si>
    <t xml:space="preserve">https://www.fr.com/insights/</t>
  </si>
  <si>
    <t xml:space="preserve">Largest US Patent Litigation; IP Counseling</t>
  </si>
  <si>
    <t xml:space="preserve">Meitar Law</t>
  </si>
  <si>
    <t xml:space="preserve">https://www.meitar.com/knowledge-hub</t>
  </si>
  <si>
    <t xml:space="preserve">Israeli Tech Law; Patents; SaaS; Privacy</t>
  </si>
  <si>
    <t xml:space="preserve">Herzog Fox &amp; Neeman</t>
  </si>
  <si>
    <t xml:space="preserve">https://www.herzoglaw.co.il/eng/news-and-events/</t>
  </si>
  <si>
    <t xml:space="preserve">Israel's Largest Law Firm; IP; Tech; Privacy</t>
  </si>
  <si>
    <t xml:space="preserve">Pearl Cohen</t>
  </si>
  <si>
    <t xml:space="preserve">https://www.pearlcohen.com/category/newsletters/</t>
  </si>
  <si>
    <t xml:space="preserve">Israeli IP-Focused; Patent Prosecution; FTO Analysis</t>
  </si>
  <si>
    <t xml:space="preserve">INFRASTRUCTURE MANAGEMENT &amp; DEVOPS</t>
  </si>
  <si>
    <t xml:space="preserve">HashiCorp (IBM)</t>
  </si>
  <si>
    <t xml:space="preserve">https://developer.hashicorp.com/</t>
  </si>
  <si>
    <t xml:space="preserve">Terraform; Vault; Consul; IaC Gold Standard</t>
  </si>
  <si>
    <t xml:space="preserve">Accenture</t>
  </si>
  <si>
    <t xml:space="preserve">https://www.accenture.com/us-en/insights/cloud-index</t>
  </si>
  <si>
    <t xml:space="preserve">Cloud; DevOps; Infrastructure Transformation at Scale</t>
  </si>
  <si>
    <t xml:space="preserve">Infosys</t>
  </si>
  <si>
    <t xml:space="preserve">https://www.infosys.com/iki.html</t>
  </si>
  <si>
    <t xml:space="preserve">Agile DevOps; Cloud-Native Infrastructure</t>
  </si>
  <si>
    <t xml:space="preserve">ScienceSoft</t>
  </si>
  <si>
    <t xml:space="preserve">https://www.scnsoft.com/blog</t>
  </si>
  <si>
    <t xml:space="preserve">CI/CD; IaC; Containerization; ISO Certified</t>
  </si>
  <si>
    <t xml:space="preserve">T-Systems</t>
  </si>
  <si>
    <t xml:space="preserve">https://www.t-systems.com/de/en/insights</t>
  </si>
  <si>
    <t xml:space="preserve">Cloud Infrastructure; Managed DevOps; SAP Ops</t>
  </si>
  <si>
    <t xml:space="preserve">Codecentric</t>
  </si>
  <si>
    <t xml:space="preserve">https://www.codecentric.de/en/blog</t>
  </si>
  <si>
    <t xml:space="preserve">DevOps; Cloud-Native; Kubernetes; SRE</t>
  </si>
  <si>
    <t xml:space="preserve">Rackspace Technology</t>
  </si>
  <si>
    <t xml:space="preserve">https://www.rackspace.com/solve</t>
  </si>
  <si>
    <t xml:space="preserve">Managed Cloud; Multi-Cloud DevOps; Kubernetes</t>
  </si>
  <si>
    <t xml:space="preserve">Versent</t>
  </si>
  <si>
    <t xml:space="preserve">https://www.versent.com.au/insights</t>
  </si>
  <si>
    <t xml:space="preserve">Australian-Born Cloud/DevOps; AWS Premier Partner</t>
  </si>
  <si>
    <t xml:space="preserve">MeteorOps</t>
  </si>
  <si>
    <t xml:space="preserve">https://www.meteorops.com/blog/</t>
  </si>
  <si>
    <t xml:space="preserve">Cloud Migration; Infrastructure Management (Israel)</t>
  </si>
  <si>
    <t xml:space="preserve">Consol Software</t>
  </si>
  <si>
    <t xml:space="preserve">https://www.consol.de/en/blog/</t>
  </si>
  <si>
    <t xml:space="preserve">Munich; DevOps Consulting; Monitoring; Automation</t>
  </si>
  <si>
    <t xml:space="preserve">Cevo</t>
  </si>
  <si>
    <t xml:space="preserve">https://www.cevo.com.au/blog/</t>
  </si>
  <si>
    <t xml:space="preserve">Melbourne; DevOps; Cloud-Native; SRE</t>
  </si>
  <si>
    <t xml:space="preserve">Tikal Knowledge</t>
  </si>
  <si>
    <t xml:space="preserve">https://www.tikalk.com/posts/</t>
  </si>
  <si>
    <t xml:space="preserve">DevOps; Cloud Architecture; Kubernetes; CI/CD (Israel)</t>
  </si>
  <si>
    <t xml:space="preserve">CMD Solutions</t>
  </si>
  <si>
    <t xml:space="preserve">https://www.cmdsolutions.com.au/blog/</t>
  </si>
  <si>
    <t xml:space="preserve">DevOps; Cloud Security; AWS/Azure/GCP</t>
  </si>
  <si>
    <t xml:space="preserve">Otorio</t>
  </si>
  <si>
    <t xml:space="preserve">https://www.otorio.com/resources/</t>
  </si>
  <si>
    <t xml:space="preserve">OT/IT Security; Industrial DevOps (Israel)</t>
  </si>
  <si>
    <t xml:space="preserve">GRAPHIC DESIGN &amp; BRAND IDENTITY</t>
  </si>
  <si>
    <t xml:space="preserve">Interbrand</t>
  </si>
  <si>
    <t xml:space="preserve">https://www.interbrand.com/thinking/</t>
  </si>
  <si>
    <t xml:space="preserve">Best Global Brands Rankings; Brand Strategy; Valuation</t>
  </si>
  <si>
    <t xml:space="preserve">Pentagram</t>
  </si>
  <si>
    <t xml:space="preserve">https://www.pentagram.com/work</t>
  </si>
  <si>
    <t xml:space="preserve">World's Largest Independent Design; Portfolio-Driven</t>
  </si>
  <si>
    <t xml:space="preserve">Interbrand Australia</t>
  </si>
  <si>
    <t xml:space="preserve">Brand Design &amp; Strategy for APAC</t>
  </si>
  <si>
    <t xml:space="preserve">Landor (WPP)</t>
  </si>
  <si>
    <t xml:space="preserve">https://www.landor.com/thinking</t>
  </si>
  <si>
    <t xml:space="preserve">Visual Identity; Brand Architecture; Packaging</t>
  </si>
  <si>
    <t xml:space="preserve">R/GA Australia</t>
  </si>
  <si>
    <t xml:space="preserve">https://www.rga.com/futurevision</t>
  </si>
  <si>
    <t xml:space="preserve">Digital-First Brand Design; Innovation</t>
  </si>
  <si>
    <t xml:space="preserve">Siegel+Gale</t>
  </si>
  <si>
    <t xml:space="preserve">https://www.siegelgale.com/insights/</t>
  </si>
  <si>
    <t xml:space="preserve">Simplicity-Driven Identity; Naming</t>
  </si>
  <si>
    <t xml:space="preserve">MetaDesign (Berlin)</t>
  </si>
  <si>
    <t xml:space="preserve">https://www.metadesign.com/insights</t>
  </si>
  <si>
    <t xml:space="preserve">Global Brand Design; Deep German Market</t>
  </si>
  <si>
    <t xml:space="preserve">MetaDesign</t>
  </si>
  <si>
    <t xml:space="preserve">Berlin-Origin; Scalable Brand Ecosystems</t>
  </si>
  <si>
    <t xml:space="preserve">KMS TEAM</t>
  </si>
  <si>
    <t xml:space="preserve">https://www.kms-team.com/en/insights</t>
  </si>
  <si>
    <t xml:space="preserve">Munich; Brand Strategy; Identity; Experience</t>
  </si>
  <si>
    <t xml:space="preserve">Peter Schmidt Group</t>
  </si>
  <si>
    <t xml:space="preserve">https://www.peterschmidtgroup.de/en/</t>
  </si>
  <si>
    <t xml:space="preserve">Corporate Identity; Packaging; Brand Architecture</t>
  </si>
  <si>
    <t xml:space="preserve">Hulsbosch</t>
  </si>
  <si>
    <t xml:space="preserve">https://www.hulsbosch.com.au/</t>
  </si>
  <si>
    <t xml:space="preserve">Brand Identity for Woolworths, Qantas, CBA</t>
  </si>
  <si>
    <t xml:space="preserve">Biajee</t>
  </si>
  <si>
    <t xml:space="preserve">https://www.biajee.com/</t>
  </si>
  <si>
    <t xml:space="preserve">Brand Strategy; Identity; Messaging (Tel Aviv)</t>
  </si>
  <si>
    <t xml:space="preserve">Firma</t>
  </si>
  <si>
    <t xml:space="preserve">https://www.firma.co.il/</t>
  </si>
  <si>
    <t xml:space="preserve">Brand Identity; Visual Design; UX (Tel Aviv)</t>
  </si>
  <si>
    <t xml:space="preserve">Berman Branding</t>
  </si>
  <si>
    <t xml:space="preserve">https://www.bermanbranding.com/</t>
  </si>
  <si>
    <t xml:space="preserve">Logo; Brand Guide; Corporate Identity</t>
  </si>
  <si>
    <t xml:space="preserve">INSURANCE &amp; PAYMENTS REGULATORY AUTHORITIES</t>
  </si>
  <si>
    <t xml:space="preserve">FCA — Financial Conduct Authority</t>
  </si>
  <si>
    <t xml:space="preserve">UK</t>
  </si>
  <si>
    <t xml:space="preserve">https://www.fca.org.uk/publications</t>
  </si>
  <si>
    <t xml:space="preserve">Insurance Conduct; Payments; Consumer Duty; Open Banking; BNPL</t>
  </si>
  <si>
    <t xml:space="preserve">EIOPA</t>
  </si>
  <si>
    <t xml:space="preserve">EU</t>
  </si>
  <si>
    <t xml:space="preserve">https://www.eiopa.europa.eu/publications_en</t>
  </si>
  <si>
    <t xml:space="preserve">Insurance &amp; Pensions Supervision; Solvency II; IDD; PEPP</t>
  </si>
  <si>
    <t xml:space="preserve">APRA</t>
  </si>
  <si>
    <t xml:space="preserve">https://www.apra.gov.au/publications</t>
  </si>
  <si>
    <t xml:space="preserve">Insurance; Banking; Prudential Supervision; Capital Standards</t>
  </si>
  <si>
    <t xml:space="preserve">BaFin</t>
  </si>
  <si>
    <t xml:space="preserve">https://www.bafin.de/EN/Homepage/homepage_node.html</t>
  </si>
  <si>
    <t xml:space="preserve">Insurance; Banking; Securities; Payments; Consumer Protection</t>
  </si>
  <si>
    <t xml:space="preserve">EBA</t>
  </si>
  <si>
    <t xml:space="preserve">https://www.eba.europa.eu/publications-and-media</t>
  </si>
  <si>
    <t xml:space="preserve">Banking Regulation; PSD2/PSD3; AML; Consumer Protection</t>
  </si>
  <si>
    <t xml:space="preserve">PRA — Prudential Regulation Authority</t>
  </si>
  <si>
    <t xml:space="preserve">https://www.bankofengland.co.uk/prudential-regulation/publication</t>
  </si>
  <si>
    <t xml:space="preserve">Insurance Prudential; Solvency UK; Capital; Life Insurance</t>
  </si>
  <si>
    <t xml:space="preserve">Federal Reserve</t>
  </si>
  <si>
    <t xml:space="preserve">US</t>
  </si>
  <si>
    <t xml:space="preserve">https://www.federalreserve.gov/publications.htm</t>
  </si>
  <si>
    <t xml:space="preserve">Banking; Payment Systems; Financial Stability; FedNow</t>
  </si>
  <si>
    <t xml:space="preserve">NAIC</t>
  </si>
  <si>
    <t xml:space="preserve">https://content.naic.org/publications</t>
  </si>
  <si>
    <t xml:space="preserve">Insurance Model Laws; State Coordination; Solvency; Market Conduct</t>
  </si>
  <si>
    <t xml:space="preserve">EDPB — European Data Protection Board</t>
  </si>
  <si>
    <t xml:space="preserve">https://edpb.europa.eu/edpb_en</t>
  </si>
  <si>
    <t xml:space="preserve">GDPR Enforcement; Cross-Border Data; Privacy</t>
  </si>
  <si>
    <t xml:space="preserve">PSR — Payment Systems Regulator</t>
  </si>
  <si>
    <t xml:space="preserve">https://www.psr.org.uk/publications/</t>
  </si>
  <si>
    <t xml:space="preserve">Payment Systems; Interchange Fees; APP Fraud; Open Banking</t>
  </si>
  <si>
    <t xml:space="preserve">Deutsche Bundesbank</t>
  </si>
  <si>
    <t xml:space="preserve">https://www.bundesbank.de/en/publications</t>
  </si>
  <si>
    <t xml:space="preserve">Payment Systems; Financial Stability; Banking Oversight</t>
  </si>
  <si>
    <t xml:space="preserve">ECB — Banking Supervision</t>
  </si>
  <si>
    <t xml:space="preserve">https://www.bankingsupervision.europa.eu/home/html/index.en.html</t>
  </si>
  <si>
    <t xml:space="preserve">Banking Supervision; SSM; Financial Stability</t>
  </si>
  <si>
    <t xml:space="preserve">ICO — Information Commissioner</t>
  </si>
  <si>
    <t xml:space="preserve">https://ico.org.uk/about-the-ico/what-we-do/</t>
  </si>
  <si>
    <t xml:space="preserve">UK GDPR; Data Protection; AI Code of Practice</t>
  </si>
  <si>
    <t xml:space="preserve">CFPB</t>
  </si>
  <si>
    <t xml:space="preserve">https://www.consumerfinance.gov/data-research/research-reports/</t>
  </si>
  <si>
    <t xml:space="preserve">Consumer Finance; Payments; BNPL; Open Banking (1033)</t>
  </si>
  <si>
    <t xml:space="preserve">FTC (Privacy)</t>
  </si>
  <si>
    <t xml:space="preserve">https://www.ftc.gov/news-events/topics/protecting-consumer-privacy-security</t>
  </si>
  <si>
    <t xml:space="preserve">Privacy; Consumer Protection; Data Security; AI</t>
  </si>
  <si>
    <t xml:space="preserve">NYDFS</t>
  </si>
  <si>
    <t xml:space="preserve">US-NY</t>
  </si>
  <si>
    <t xml:space="preserve">https://www.dfs.ny.gov/reports_and_publications</t>
  </si>
  <si>
    <t xml:space="preserve">Insurance; Banking; Cybersecurity (23 NYCRR 500); BitLicense</t>
  </si>
  <si>
    <t xml:space="preserve">ASIC</t>
  </si>
  <si>
    <t xml:space="preserve">https://asic.gov.au/about-asic/news-centre/find-a-media-release/</t>
  </si>
  <si>
    <t xml:space="preserve">Financial Services; Consumer Protection; Payments; Licensing</t>
  </si>
  <si>
    <t xml:space="preserve">RBA — Reserve Bank of Australia</t>
  </si>
  <si>
    <t xml:space="preserve">https://www.rba.gov.au/publications/</t>
  </si>
  <si>
    <t xml:space="preserve">Payment Systems Regulation; Financial Stability; CBDC</t>
  </si>
  <si>
    <t xml:space="preserve">CMISA — Capital Market, Insurance and Savings Authority</t>
  </si>
  <si>
    <t xml:space="preserve">https://www.gov.il/en/departments/capital_market_authority</t>
  </si>
  <si>
    <t xml:space="preserve">Insurance; Pension; Provident Funds; Non-Bank Lending; Payments (partial)</t>
  </si>
  <si>
    <t xml:space="preserve">Bank of Israel — Banking Supervision</t>
  </si>
  <si>
    <t xml:space="preserve">https://www.boi.org.il/en/BankingSupervision/</t>
  </si>
  <si>
    <t xml:space="preserve">Banking Supervision; Payment Systems; Financial Stability</t>
  </si>
  <si>
    <t xml:space="preserve">BfDI — Federal Data Protection</t>
  </si>
  <si>
    <t xml:space="preserve">https://www.bfdi.bund.de/EN/Home/home_node.html</t>
  </si>
  <si>
    <t xml:space="preserve">Data Protection; Privacy; GDPR Enforcement</t>
  </si>
  <si>
    <t xml:space="preserve">CPPA — California Privacy</t>
  </si>
  <si>
    <t xml:space="preserve">US-CA</t>
  </si>
  <si>
    <t xml:space="preserve">https://cppa.ca.gov/newsroom/</t>
  </si>
  <si>
    <t xml:space="preserve">CCPA/CPRA Enforcement; Privacy Rights; Automated Decision-Making</t>
  </si>
  <si>
    <t xml:space="preserve">California DFPI</t>
  </si>
  <si>
    <t xml:space="preserve">https://dfpi.ca.gov/publications/</t>
  </si>
  <si>
    <t xml:space="preserve">Financial Protection; Payments; Lending; Crypto</t>
  </si>
  <si>
    <t xml:space="preserve">OAIC</t>
  </si>
  <si>
    <t xml:space="preserve">https://www.oaic.gov.au/newsroom</t>
  </si>
  <si>
    <t xml:space="preserve">Privacy; Data Protection; Australian Privacy Principles</t>
  </si>
  <si>
    <t xml:space="preserve">OCC</t>
  </si>
  <si>
    <t xml:space="preserve">https://www.occ.treas.gov/news-issuances/index-news-issuances.html</t>
  </si>
  <si>
    <t xml:space="preserve">National Banks; Federal Thrifts; FinTech Charters</t>
  </si>
  <si>
    <t xml:space="preserve">FDIC</t>
  </si>
  <si>
    <t xml:space="preserve">https://www.fdic.gov/news/publications/</t>
  </si>
  <si>
    <t xml:space="preserve">Deposit Insurance; Bank Resolution; Consumer Protection</t>
  </si>
  <si>
    <t xml:space="preserve">California DOI</t>
  </si>
  <si>
    <t xml:space="preserve">https://www.insurance.ca.gov/0500-about-us/03-publications/</t>
  </si>
  <si>
    <t xml:space="preserve">Insurance Regulation; Rate Filings; Consumer Protection</t>
  </si>
  <si>
    <t xml:space="preserve">ACCC</t>
  </si>
  <si>
    <t xml:space="preserve">https://www.accc.gov.au/media/media-releases</t>
  </si>
  <si>
    <t xml:space="preserve">Consumer Protection; Competition; Digital Platforms</t>
  </si>
  <si>
    <t xml:space="preserve">Israel Securities Authority (ISA)</t>
  </si>
  <si>
    <t xml:space="preserve">https://www.isa.gov.il/sites/ISAEng/Pages/default.aspx</t>
  </si>
  <si>
    <t xml:space="preserve">Payment Services Licensing; Securities; Open Banking</t>
  </si>
  <si>
    <t xml:space="preserve">Florida OIR</t>
  </si>
  <si>
    <t xml:space="preserve">US-FL</t>
  </si>
  <si>
    <t xml:space="preserve">https://www.floir.com/</t>
  </si>
  <si>
    <t xml:space="preserve">Insurance Regulation; Property; Catastrophe</t>
  </si>
  <si>
    <t xml:space="preserve">Privacy Protection Authority (Israel)</t>
  </si>
  <si>
    <t xml:space="preserve">https://www.gov.il/en/departments/the_privacy_protection_authority</t>
  </si>
  <si>
    <t xml:space="preserve">Data Protection; Privacy; GDPR-Equivalent</t>
  </si>
  <si>
    <t xml:space="preserve">Florida OFR</t>
  </si>
  <si>
    <t xml:space="preserve">https://flofr.gov/</t>
  </si>
  <si>
    <t xml:space="preserve">Financial Regulation; Securities; Banking</t>
  </si>
  <si>
    <t xml:space="preserve">Scoring Criteria</t>
  </si>
  <si>
    <t xml:space="preserve">Content Volume &amp; Depth</t>
  </si>
  <si>
    <t xml:space="preserve">Amount and depth of published research, frameworks, and data relevant to the entity's stated domain.</t>
  </si>
  <si>
    <t xml:space="preserve">Accessibility &amp; Organization</t>
  </si>
  <si>
    <t xml:space="preserve">Ease of finding, filtering, and accessing content. Open-access vs. gated; search/filter quality; PDF availability.</t>
  </si>
  <si>
    <t xml:space="preserve">Recency &amp; Frequency</t>
  </si>
  <si>
    <t xml:space="preserve">How current content is and publishing cadence. Most recent publication date; quarterly/annual cycles.</t>
  </si>
  <si>
    <t xml:space="preserve">Actionability for PassportCard</t>
  </si>
  <si>
    <t xml:space="preserve">How directly frameworks translate into product decisions for PassportCard's insurance, technology, and operational context.</t>
  </si>
  <si>
    <t xml:space="preserve">Tier System</t>
  </si>
  <si>
    <t xml:space="preserve">★★★ (8.5-10.0)</t>
  </si>
  <si>
    <t xml:space="preserve">Tier 1 — Primary source for Benefit Phase 2.5 sweeps</t>
  </si>
  <si>
    <t xml:space="preserve">★★ (7.0-8.4)</t>
  </si>
  <si>
    <t xml:space="preserve">Tier 2 — Strong supplementary source</t>
  </si>
  <si>
    <t xml:space="preserve">★ (5.5-6.9)</t>
  </si>
  <si>
    <t xml:space="preserve">Tier 3 — Niche value, selective search</t>
  </si>
  <si>
    <t xml:space="preserve">— (below 5.5)</t>
  </si>
  <si>
    <t xml:space="preserve">Tier 4 — Limited open-access; consider direct engagement</t>
  </si>
  <si>
    <t xml:space="preserve">Region Codes</t>
  </si>
  <si>
    <t xml:space="preserve">Worldwide</t>
  </si>
  <si>
    <t xml:space="preserve">Germany</t>
  </si>
  <si>
    <t xml:space="preserve">Israel</t>
  </si>
  <si>
    <t xml:space="preserve">Australia</t>
  </si>
  <si>
    <t xml:space="preserve">European Union</t>
  </si>
  <si>
    <t xml:space="preserve">United Kingdom</t>
  </si>
  <si>
    <t xml:space="preserve">United States (Federal)</t>
  </si>
  <si>
    <t xml:space="preserve">New York State</t>
  </si>
  <si>
    <t xml:space="preserve">California</t>
  </si>
  <si>
    <t xml:space="preserve">Florida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</si>
</sst>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4E79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  <font>
      <b val="true"/>
      <sz val="11"/>
      <name val="Arial"/>
      <family val="0"/>
      <charset val="1"/>
    </font>
    <font>
      <u val="single"/>
      <sz val="8"/>
      <color rgb="FF0563C1"/>
      <name val="Arial"/>
      <family val="0"/>
      <charset val="1"/>
    </font>
    <font>
      <i val="true"/>
      <sz val="8"/>
      <name val="Arial"/>
      <family val="0"/>
      <charset val="1"/>
    </font>
    <font>
      <b val="true"/>
      <sz val="13"/>
      <color rgb="FF1F4E79"/>
      <name val="Arial"/>
      <family val="0"/>
      <charset val="1"/>
    </font>
  </fonts>
  <fills count="23">
    <fill>
      <patternFill patternType="none"/>
    </fill>
    <fill>
      <patternFill patternType="gray125"/>
    </fill>
    <fill>
      <patternFill patternType="solid">
        <fgColor rgb="FF2E75B6"/>
        <bgColor rgb="FF0563C1"/>
      </patternFill>
    </fill>
    <fill>
      <patternFill patternType="solid">
        <fgColor rgb="FF1F4E79"/>
        <bgColor rgb="FF2F5496"/>
      </patternFill>
    </fill>
    <fill>
      <patternFill patternType="solid">
        <fgColor rgb="FFD6E4F0"/>
        <bgColor rgb="FFD9E2F3"/>
      </patternFill>
    </fill>
    <fill>
      <patternFill patternType="solid">
        <fgColor rgb="FFC6EFCE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FFEB9C"/>
        <bgColor rgb="FFFFF2CC"/>
      </patternFill>
    </fill>
    <fill>
      <patternFill patternType="solid">
        <fgColor rgb="FF548235"/>
        <bgColor rgb="FF666666"/>
      </patternFill>
    </fill>
    <fill>
      <patternFill patternType="solid">
        <fgColor rgb="FFE2EFDA"/>
        <bgColor rgb="FFDDEBF7"/>
      </patternFill>
    </fill>
    <fill>
      <patternFill patternType="solid">
        <fgColor rgb="FFFFC7CE"/>
        <bgColor rgb="FFFCE4D6"/>
      </patternFill>
    </fill>
    <fill>
      <patternFill patternType="solid">
        <fgColor rgb="FFDDEBF7"/>
        <bgColor rgb="FFD6E4F0"/>
      </patternFill>
    </fill>
    <fill>
      <patternFill patternType="solid">
        <fgColor rgb="FF375623"/>
        <bgColor rgb="FF333300"/>
      </patternFill>
    </fill>
    <fill>
      <patternFill patternType="solid">
        <fgColor rgb="FFC55A11"/>
        <bgColor rgb="FFBF8F00"/>
      </patternFill>
    </fill>
    <fill>
      <patternFill patternType="solid">
        <fgColor rgb="FFFCE4D6"/>
        <bgColor rgb="FFFBE5D6"/>
      </patternFill>
    </fill>
    <fill>
      <patternFill patternType="solid">
        <fgColor rgb="FF7030A0"/>
        <bgColor rgb="FF993366"/>
      </patternFill>
    </fill>
    <fill>
      <patternFill patternType="solid">
        <fgColor rgb="FFE4DFEC"/>
        <bgColor rgb="FFD9E2F3"/>
      </patternFill>
    </fill>
    <fill>
      <patternFill patternType="solid">
        <fgColor rgb="FF2F5496"/>
        <bgColor rgb="FF1F4E79"/>
      </patternFill>
    </fill>
    <fill>
      <patternFill patternType="solid">
        <fgColor rgb="FFD9E2F3"/>
        <bgColor rgb="FFD6E4F0"/>
      </patternFill>
    </fill>
    <fill>
      <patternFill patternType="solid">
        <fgColor rgb="FFBF8F00"/>
        <bgColor rgb="FFC55A11"/>
      </patternFill>
    </fill>
    <fill>
      <patternFill patternType="solid">
        <fgColor rgb="FFFFF2CC"/>
        <bgColor rgb="FFFBE5D6"/>
      </patternFill>
    </fill>
    <fill>
      <patternFill patternType="solid">
        <fgColor rgb="FF833C0B"/>
        <bgColor rgb="FF993366"/>
      </patternFill>
    </fill>
    <fill>
      <patternFill patternType="solid">
        <fgColor rgb="FFFBE5D6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D6E4F0"/>
      <rgbColor rgb="FF808080"/>
      <rgbColor rgb="FF9999FF"/>
      <rgbColor rgb="FF7030A0"/>
      <rgbColor rgb="FFFFF2CC"/>
      <rgbColor rgb="FFDDEBF7"/>
      <rgbColor rgb="FF660066"/>
      <rgbColor rgb="FFFF8080"/>
      <rgbColor rgb="FF0563C1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E4DFEC"/>
      <rgbColor rgb="FFFCE4D6"/>
      <rgbColor rgb="FFFBE5D6"/>
      <rgbColor rgb="FFFFC7CE"/>
      <rgbColor rgb="FF2E75B6"/>
      <rgbColor rgb="FF33CCCC"/>
      <rgbColor rgb="FF99CC00"/>
      <rgbColor rgb="FFFFCC00"/>
      <rgbColor rgb="FFBF8F00"/>
      <rgbColor rgb="FFC55A11"/>
      <rgbColor rgb="FF666666"/>
      <rgbColor rgb="FF969696"/>
      <rgbColor rgb="FF1F4E79"/>
      <rgbColor rgb="FF339966"/>
      <rgbColor rgb="FF003300"/>
      <rgbColor rgb="FF333300"/>
      <rgbColor rgb="FF833C0B"/>
      <rgbColor rgb="FF993366"/>
      <rgbColor rgb="FF2F5496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7" min="3" style="0" width="10"/>
    <col collapsed="false" customWidth="true" hidden="false" outlineLevel="0" max="9" min="8" style="0" width="9"/>
    <col collapsed="false" customWidth="true" hidden="false" outlineLevel="0" max="10" min="10" style="0" width="7"/>
    <col collapsed="false" customWidth="true" hidden="false" outlineLevel="0" max="11" min="11" style="0" width="52"/>
    <col collapsed="false" customWidth="true" hidden="false" outlineLevel="0" max="12" min="12" style="0" width="48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27.7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customFormat="false" ht="37.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</row>
    <row r="6" customFormat="false" ht="24" hidden="false" customHeight="true" outlineLevel="0" collapsed="false">
      <c r="A6" s="5" t="n">
        <v>1</v>
      </c>
      <c r="B6" s="6" t="s">
        <v>15</v>
      </c>
      <c r="C6" s="7" t="s">
        <v>16</v>
      </c>
      <c r="D6" s="8" t="n">
        <v>10</v>
      </c>
      <c r="E6" s="8" t="n">
        <v>9</v>
      </c>
      <c r="F6" s="8" t="n">
        <v>10</v>
      </c>
      <c r="G6" s="8" t="n">
        <v>9</v>
      </c>
      <c r="H6" s="9" t="n">
        <f aca="false">SUM(D6:G6)</f>
        <v>38</v>
      </c>
      <c r="I6" s="10" t="n">
        <f aca="false">ROUND(H6/4,1)</f>
        <v>9.5</v>
      </c>
      <c r="J6" s="11" t="s">
        <v>17</v>
      </c>
      <c r="K6" s="12" t="s">
        <v>18</v>
      </c>
      <c r="L6" s="13" t="s">
        <v>19</v>
      </c>
    </row>
    <row r="7" customFormat="false" ht="24" hidden="false" customHeight="true" outlineLevel="0" collapsed="false">
      <c r="A7" s="5" t="n">
        <v>2</v>
      </c>
      <c r="B7" s="6" t="s">
        <v>20</v>
      </c>
      <c r="C7" s="7" t="s">
        <v>16</v>
      </c>
      <c r="D7" s="8" t="n">
        <v>9</v>
      </c>
      <c r="E7" s="8" t="n">
        <v>9</v>
      </c>
      <c r="F7" s="8" t="n">
        <v>9</v>
      </c>
      <c r="G7" s="8" t="n">
        <v>8</v>
      </c>
      <c r="H7" s="9" t="n">
        <f aca="false">SUM(D7:G7)</f>
        <v>35</v>
      </c>
      <c r="I7" s="10" t="n">
        <f aca="false">ROUND(H7/4,1)</f>
        <v>8.8</v>
      </c>
      <c r="J7" s="11" t="s">
        <v>17</v>
      </c>
      <c r="K7" s="12" t="s">
        <v>21</v>
      </c>
      <c r="L7" s="13" t="s">
        <v>22</v>
      </c>
    </row>
    <row r="8" customFormat="false" ht="24" hidden="false" customHeight="true" outlineLevel="0" collapsed="false">
      <c r="A8" s="5" t="n">
        <v>3</v>
      </c>
      <c r="B8" s="6" t="s">
        <v>23</v>
      </c>
      <c r="C8" s="7" t="s">
        <v>16</v>
      </c>
      <c r="D8" s="8" t="n">
        <v>9</v>
      </c>
      <c r="E8" s="8" t="n">
        <v>8</v>
      </c>
      <c r="F8" s="8" t="n">
        <v>9</v>
      </c>
      <c r="G8" s="8" t="n">
        <v>8</v>
      </c>
      <c r="H8" s="9" t="n">
        <f aca="false">SUM(D8:G8)</f>
        <v>34</v>
      </c>
      <c r="I8" s="10" t="n">
        <f aca="false">ROUND(H8/4,1)</f>
        <v>8.5</v>
      </c>
      <c r="J8" s="11" t="s">
        <v>17</v>
      </c>
      <c r="K8" s="12" t="s">
        <v>24</v>
      </c>
      <c r="L8" s="13" t="s">
        <v>25</v>
      </c>
    </row>
    <row r="9" customFormat="false" ht="24" hidden="false" customHeight="true" outlineLevel="0" collapsed="false">
      <c r="A9" s="5" t="n">
        <v>4</v>
      </c>
      <c r="B9" s="6" t="s">
        <v>26</v>
      </c>
      <c r="C9" s="7" t="s">
        <v>16</v>
      </c>
      <c r="D9" s="8" t="n">
        <v>8</v>
      </c>
      <c r="E9" s="8" t="n">
        <v>8</v>
      </c>
      <c r="F9" s="8" t="n">
        <v>9</v>
      </c>
      <c r="G9" s="8" t="n">
        <v>8</v>
      </c>
      <c r="H9" s="9" t="n">
        <f aca="false">SUM(D9:G9)</f>
        <v>33</v>
      </c>
      <c r="I9" s="10" t="n">
        <f aca="false">ROUND(H9/4,1)</f>
        <v>8.3</v>
      </c>
      <c r="J9" s="11" t="s">
        <v>27</v>
      </c>
      <c r="K9" s="12" t="s">
        <v>28</v>
      </c>
      <c r="L9" s="13" t="s">
        <v>29</v>
      </c>
    </row>
    <row r="10" customFormat="false" ht="24" hidden="false" customHeight="true" outlineLevel="0" collapsed="false">
      <c r="A10" s="5" t="n">
        <v>5</v>
      </c>
      <c r="B10" s="6" t="s">
        <v>30</v>
      </c>
      <c r="C10" s="7" t="s">
        <v>16</v>
      </c>
      <c r="D10" s="14" t="n">
        <v>7</v>
      </c>
      <c r="E10" s="8" t="n">
        <v>8</v>
      </c>
      <c r="F10" s="8" t="n">
        <v>8</v>
      </c>
      <c r="G10" s="14" t="n">
        <v>7</v>
      </c>
      <c r="H10" s="9" t="n">
        <f aca="false">SUM(D10:G10)</f>
        <v>30</v>
      </c>
      <c r="I10" s="10" t="n">
        <f aca="false">ROUND(H10/4,1)</f>
        <v>7.5</v>
      </c>
      <c r="J10" s="11" t="s">
        <v>27</v>
      </c>
      <c r="K10" s="12" t="s">
        <v>31</v>
      </c>
      <c r="L10" s="13" t="s">
        <v>32</v>
      </c>
    </row>
    <row r="11" customFormat="false" ht="24" hidden="false" customHeight="true" outlineLevel="0" collapsed="false">
      <c r="A11" s="5" t="n">
        <v>6</v>
      </c>
      <c r="B11" s="6" t="s">
        <v>33</v>
      </c>
      <c r="C11" s="7" t="s">
        <v>16</v>
      </c>
      <c r="D11" s="8" t="n">
        <v>8</v>
      </c>
      <c r="E11" s="14" t="n">
        <v>7</v>
      </c>
      <c r="F11" s="14" t="n">
        <v>7</v>
      </c>
      <c r="G11" s="8" t="n">
        <v>8</v>
      </c>
      <c r="H11" s="9" t="n">
        <f aca="false">SUM(D11:G11)</f>
        <v>30</v>
      </c>
      <c r="I11" s="10" t="n">
        <f aca="false">ROUND(H11/4,1)</f>
        <v>7.5</v>
      </c>
      <c r="J11" s="11" t="s">
        <v>27</v>
      </c>
      <c r="K11" s="12" t="s">
        <v>34</v>
      </c>
      <c r="L11" s="13" t="s">
        <v>35</v>
      </c>
    </row>
    <row r="13" customFormat="false" ht="27.75" hidden="false" customHeight="true" outlineLevel="0" collapsed="false">
      <c r="A13" s="15" t="s">
        <v>36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</row>
    <row r="14" customFormat="false" ht="37.5" hidden="false" customHeight="true" outlineLevel="0" collapsed="false">
      <c r="A14" s="4" t="s">
        <v>3</v>
      </c>
      <c r="B14" s="4" t="s">
        <v>4</v>
      </c>
      <c r="C14" s="4" t="s">
        <v>5</v>
      </c>
      <c r="D14" s="4" t="s">
        <v>6</v>
      </c>
      <c r="E14" s="4" t="s">
        <v>7</v>
      </c>
      <c r="F14" s="4" t="s">
        <v>8</v>
      </c>
      <c r="G14" s="4" t="s">
        <v>9</v>
      </c>
      <c r="H14" s="4" t="s">
        <v>10</v>
      </c>
      <c r="I14" s="4" t="s">
        <v>11</v>
      </c>
      <c r="J14" s="4" t="s">
        <v>12</v>
      </c>
      <c r="K14" s="4" t="s">
        <v>13</v>
      </c>
      <c r="L14" s="4" t="s">
        <v>14</v>
      </c>
    </row>
    <row r="15" customFormat="false" ht="24" hidden="false" customHeight="true" outlineLevel="0" collapsed="false">
      <c r="A15" s="16" t="n">
        <v>1</v>
      </c>
      <c r="B15" s="17" t="s">
        <v>37</v>
      </c>
      <c r="C15" s="18" t="s">
        <v>16</v>
      </c>
      <c r="D15" s="8" t="n">
        <v>9</v>
      </c>
      <c r="E15" s="8" t="n">
        <v>8</v>
      </c>
      <c r="F15" s="8" t="n">
        <v>10</v>
      </c>
      <c r="G15" s="8" t="n">
        <v>8</v>
      </c>
      <c r="H15" s="9" t="n">
        <f aca="false">SUM(D15:G15)</f>
        <v>35</v>
      </c>
      <c r="I15" s="10" t="n">
        <f aca="false">ROUND(H15/4,1)</f>
        <v>8.8</v>
      </c>
      <c r="J15" s="11" t="s">
        <v>17</v>
      </c>
      <c r="K15" s="12" t="s">
        <v>38</v>
      </c>
      <c r="L15" s="13" t="s">
        <v>39</v>
      </c>
    </row>
    <row r="16" customFormat="false" ht="24" hidden="false" customHeight="true" outlineLevel="0" collapsed="false">
      <c r="A16" s="16" t="n">
        <v>2</v>
      </c>
      <c r="B16" s="17" t="s">
        <v>40</v>
      </c>
      <c r="C16" s="18" t="s">
        <v>16</v>
      </c>
      <c r="D16" s="8" t="n">
        <v>9</v>
      </c>
      <c r="E16" s="8" t="n">
        <v>8</v>
      </c>
      <c r="F16" s="8" t="n">
        <v>10</v>
      </c>
      <c r="G16" s="8" t="n">
        <v>8</v>
      </c>
      <c r="H16" s="9" t="n">
        <f aca="false">SUM(D16:G16)</f>
        <v>35</v>
      </c>
      <c r="I16" s="10" t="n">
        <f aca="false">ROUND(H16/4,1)</f>
        <v>8.8</v>
      </c>
      <c r="J16" s="11" t="s">
        <v>17</v>
      </c>
      <c r="K16" s="12" t="s">
        <v>41</v>
      </c>
      <c r="L16" s="13" t="s">
        <v>42</v>
      </c>
    </row>
    <row r="17" customFormat="false" ht="24" hidden="false" customHeight="true" outlineLevel="0" collapsed="false">
      <c r="A17" s="16" t="n">
        <v>3</v>
      </c>
      <c r="B17" s="17" t="s">
        <v>43</v>
      </c>
      <c r="C17" s="18" t="s">
        <v>16</v>
      </c>
      <c r="D17" s="8" t="n">
        <v>8</v>
      </c>
      <c r="E17" s="14" t="n">
        <v>6</v>
      </c>
      <c r="F17" s="8" t="n">
        <v>8</v>
      </c>
      <c r="G17" s="14" t="n">
        <v>7</v>
      </c>
      <c r="H17" s="9" t="n">
        <f aca="false">SUM(D17:G17)</f>
        <v>29</v>
      </c>
      <c r="I17" s="10" t="n">
        <f aca="false">ROUND(H17/4,1)</f>
        <v>7.3</v>
      </c>
      <c r="J17" s="11" t="s">
        <v>27</v>
      </c>
      <c r="K17" s="12" t="s">
        <v>44</v>
      </c>
      <c r="L17" s="13" t="s">
        <v>45</v>
      </c>
    </row>
    <row r="18" customFormat="false" ht="24" hidden="false" customHeight="true" outlineLevel="0" collapsed="false">
      <c r="A18" s="16" t="n">
        <v>4</v>
      </c>
      <c r="B18" s="17" t="s">
        <v>46</v>
      </c>
      <c r="C18" s="18" t="s">
        <v>16</v>
      </c>
      <c r="D18" s="14" t="n">
        <v>6</v>
      </c>
      <c r="E18" s="14" t="n">
        <v>7</v>
      </c>
      <c r="F18" s="14" t="n">
        <v>7</v>
      </c>
      <c r="G18" s="14" t="n">
        <v>7</v>
      </c>
      <c r="H18" s="9" t="n">
        <f aca="false">SUM(D18:G18)</f>
        <v>27</v>
      </c>
      <c r="I18" s="10" t="n">
        <f aca="false">ROUND(H18/4,1)</f>
        <v>6.8</v>
      </c>
      <c r="J18" s="11" t="s">
        <v>47</v>
      </c>
      <c r="K18" s="12" t="s">
        <v>48</v>
      </c>
      <c r="L18" s="13" t="s">
        <v>49</v>
      </c>
    </row>
    <row r="19" customFormat="false" ht="24" hidden="false" customHeight="true" outlineLevel="0" collapsed="false">
      <c r="A19" s="16" t="n">
        <v>5</v>
      </c>
      <c r="B19" s="17" t="s">
        <v>50</v>
      </c>
      <c r="C19" s="18" t="s">
        <v>16</v>
      </c>
      <c r="D19" s="14" t="n">
        <v>6</v>
      </c>
      <c r="E19" s="14" t="n">
        <v>7</v>
      </c>
      <c r="F19" s="14" t="n">
        <v>7</v>
      </c>
      <c r="G19" s="14" t="n">
        <v>6</v>
      </c>
      <c r="H19" s="9" t="n">
        <f aca="false">SUM(D19:G19)</f>
        <v>26</v>
      </c>
      <c r="I19" s="10" t="n">
        <f aca="false">ROUND(H19/4,1)</f>
        <v>6.5</v>
      </c>
      <c r="J19" s="11" t="s">
        <v>47</v>
      </c>
      <c r="K19" s="12" t="s">
        <v>51</v>
      </c>
      <c r="L19" s="13" t="s">
        <v>52</v>
      </c>
    </row>
    <row r="20" customFormat="false" ht="24" hidden="false" customHeight="true" outlineLevel="0" collapsed="false">
      <c r="A20" s="16" t="n">
        <v>6</v>
      </c>
      <c r="B20" s="17" t="s">
        <v>53</v>
      </c>
      <c r="C20" s="18" t="s">
        <v>16</v>
      </c>
      <c r="D20" s="19" t="n">
        <v>5</v>
      </c>
      <c r="E20" s="14" t="n">
        <v>7</v>
      </c>
      <c r="F20" s="14" t="n">
        <v>7</v>
      </c>
      <c r="G20" s="19" t="n">
        <v>5</v>
      </c>
      <c r="H20" s="9" t="n">
        <f aca="false">SUM(D20:G20)</f>
        <v>24</v>
      </c>
      <c r="I20" s="10" t="n">
        <f aca="false">ROUND(H20/4,1)</f>
        <v>6</v>
      </c>
      <c r="J20" s="11" t="s">
        <v>47</v>
      </c>
      <c r="K20" s="12" t="s">
        <v>54</v>
      </c>
      <c r="L20" s="13" t="s">
        <v>55</v>
      </c>
    </row>
    <row r="21" customFormat="false" ht="24" hidden="false" customHeight="true" outlineLevel="0" collapsed="false">
      <c r="A21" s="16" t="n">
        <v>7</v>
      </c>
      <c r="B21" s="17" t="s">
        <v>56</v>
      </c>
      <c r="C21" s="18" t="s">
        <v>16</v>
      </c>
      <c r="D21" s="19" t="n">
        <v>5</v>
      </c>
      <c r="E21" s="14" t="n">
        <v>7</v>
      </c>
      <c r="F21" s="14" t="n">
        <v>7</v>
      </c>
      <c r="G21" s="19" t="n">
        <v>5</v>
      </c>
      <c r="H21" s="9" t="n">
        <f aca="false">SUM(D21:G21)</f>
        <v>24</v>
      </c>
      <c r="I21" s="10" t="n">
        <f aca="false">ROUND(H21/4,1)</f>
        <v>6</v>
      </c>
      <c r="J21" s="11" t="s">
        <v>47</v>
      </c>
      <c r="K21" s="12" t="s">
        <v>57</v>
      </c>
      <c r="L21" s="13" t="s">
        <v>58</v>
      </c>
    </row>
    <row r="22" customFormat="false" ht="24" hidden="false" customHeight="true" outlineLevel="0" collapsed="false">
      <c r="A22" s="16" t="n">
        <v>8</v>
      </c>
      <c r="B22" s="17" t="s">
        <v>59</v>
      </c>
      <c r="C22" s="18" t="s">
        <v>16</v>
      </c>
      <c r="D22" s="19" t="n">
        <v>4</v>
      </c>
      <c r="E22" s="14" t="n">
        <v>6</v>
      </c>
      <c r="F22" s="19" t="n">
        <v>5</v>
      </c>
      <c r="G22" s="19" t="n">
        <v>4</v>
      </c>
      <c r="H22" s="9" t="n">
        <f aca="false">SUM(D22:G22)</f>
        <v>19</v>
      </c>
      <c r="I22" s="10" t="n">
        <f aca="false">ROUND(H22/4,1)</f>
        <v>4.8</v>
      </c>
      <c r="J22" s="11" t="s">
        <v>60</v>
      </c>
      <c r="K22" s="12" t="s">
        <v>61</v>
      </c>
      <c r="L22" s="13" t="s">
        <v>62</v>
      </c>
    </row>
    <row r="24" customFormat="false" ht="27.75" hidden="false" customHeight="true" outlineLevel="0" collapsed="false">
      <c r="A24" s="20" t="s">
        <v>63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</row>
    <row r="25" customFormat="false" ht="37.5" hidden="false" customHeight="true" outlineLevel="0" collapsed="false">
      <c r="A25" s="4" t="s">
        <v>3</v>
      </c>
      <c r="B25" s="4" t="s">
        <v>4</v>
      </c>
      <c r="C25" s="4" t="s">
        <v>5</v>
      </c>
      <c r="D25" s="4" t="s">
        <v>6</v>
      </c>
      <c r="E25" s="4" t="s">
        <v>7</v>
      </c>
      <c r="F25" s="4" t="s">
        <v>8</v>
      </c>
      <c r="G25" s="4" t="s">
        <v>9</v>
      </c>
      <c r="H25" s="4" t="s">
        <v>10</v>
      </c>
      <c r="I25" s="4" t="s">
        <v>11</v>
      </c>
      <c r="J25" s="4" t="s">
        <v>12</v>
      </c>
      <c r="K25" s="4" t="s">
        <v>13</v>
      </c>
      <c r="L25" s="4" t="s">
        <v>14</v>
      </c>
    </row>
    <row r="26" customFormat="false" ht="24" hidden="false" customHeight="true" outlineLevel="0" collapsed="false">
      <c r="A26" s="21" t="n">
        <v>1</v>
      </c>
      <c r="B26" s="22" t="s">
        <v>64</v>
      </c>
      <c r="C26" s="23" t="s">
        <v>16</v>
      </c>
      <c r="D26" s="8" t="n">
        <v>9</v>
      </c>
      <c r="E26" s="8" t="n">
        <v>8</v>
      </c>
      <c r="F26" s="8" t="n">
        <v>9</v>
      </c>
      <c r="G26" s="8" t="n">
        <v>8</v>
      </c>
      <c r="H26" s="9" t="n">
        <f aca="false">SUM(D26:G26)</f>
        <v>34</v>
      </c>
      <c r="I26" s="10" t="n">
        <f aca="false">ROUND(H26/4,1)</f>
        <v>8.5</v>
      </c>
      <c r="J26" s="11" t="s">
        <v>17</v>
      </c>
      <c r="K26" s="12" t="s">
        <v>38</v>
      </c>
      <c r="L26" s="13" t="s">
        <v>65</v>
      </c>
    </row>
    <row r="27" customFormat="false" ht="24" hidden="false" customHeight="true" outlineLevel="0" collapsed="false">
      <c r="A27" s="21" t="n">
        <v>2</v>
      </c>
      <c r="B27" s="22" t="s">
        <v>66</v>
      </c>
      <c r="C27" s="23" t="s">
        <v>16</v>
      </c>
      <c r="D27" s="8" t="n">
        <v>9</v>
      </c>
      <c r="E27" s="14" t="n">
        <v>7</v>
      </c>
      <c r="F27" s="8" t="n">
        <v>8</v>
      </c>
      <c r="G27" s="8" t="n">
        <v>9</v>
      </c>
      <c r="H27" s="9" t="n">
        <f aca="false">SUM(D27:G27)</f>
        <v>33</v>
      </c>
      <c r="I27" s="10" t="n">
        <f aca="false">ROUND(H27/4,1)</f>
        <v>8.3</v>
      </c>
      <c r="J27" s="11" t="s">
        <v>27</v>
      </c>
      <c r="K27" s="12" t="s">
        <v>44</v>
      </c>
      <c r="L27" s="13" t="s">
        <v>67</v>
      </c>
    </row>
    <row r="28" customFormat="false" ht="24" hidden="false" customHeight="true" outlineLevel="0" collapsed="false">
      <c r="A28" s="21" t="n">
        <v>3</v>
      </c>
      <c r="B28" s="22" t="s">
        <v>68</v>
      </c>
      <c r="C28" s="23" t="s">
        <v>16</v>
      </c>
      <c r="D28" s="8" t="n">
        <v>8</v>
      </c>
      <c r="E28" s="14" t="n">
        <v>7</v>
      </c>
      <c r="F28" s="14" t="n">
        <v>7</v>
      </c>
      <c r="G28" s="8" t="n">
        <v>9</v>
      </c>
      <c r="H28" s="9" t="n">
        <f aca="false">SUM(D28:G28)</f>
        <v>31</v>
      </c>
      <c r="I28" s="10" t="n">
        <f aca="false">ROUND(H28/4,1)</f>
        <v>7.8</v>
      </c>
      <c r="J28" s="11" t="s">
        <v>27</v>
      </c>
      <c r="K28" s="12" t="s">
        <v>34</v>
      </c>
      <c r="L28" s="13" t="s">
        <v>69</v>
      </c>
    </row>
    <row r="29" customFormat="false" ht="24" hidden="false" customHeight="true" outlineLevel="0" collapsed="false">
      <c r="A29" s="21" t="n">
        <v>4</v>
      </c>
      <c r="B29" s="22" t="s">
        <v>70</v>
      </c>
      <c r="C29" s="23" t="s">
        <v>16</v>
      </c>
      <c r="D29" s="14" t="n">
        <v>7</v>
      </c>
      <c r="E29" s="14" t="n">
        <v>7</v>
      </c>
      <c r="F29" s="8" t="n">
        <v>8</v>
      </c>
      <c r="G29" s="14" t="n">
        <v>7</v>
      </c>
      <c r="H29" s="9" t="n">
        <f aca="false">SUM(D29:G29)</f>
        <v>29</v>
      </c>
      <c r="I29" s="10" t="n">
        <f aca="false">ROUND(H29/4,1)</f>
        <v>7.3</v>
      </c>
      <c r="J29" s="11" t="s">
        <v>27</v>
      </c>
      <c r="K29" s="12" t="s">
        <v>71</v>
      </c>
      <c r="L29" s="13" t="s">
        <v>72</v>
      </c>
    </row>
    <row r="30" customFormat="false" ht="24" hidden="false" customHeight="true" outlineLevel="0" collapsed="false">
      <c r="A30" s="21" t="n">
        <v>5</v>
      </c>
      <c r="B30" s="22" t="s">
        <v>73</v>
      </c>
      <c r="C30" s="23" t="s">
        <v>16</v>
      </c>
      <c r="D30" s="14" t="n">
        <v>7</v>
      </c>
      <c r="E30" s="14" t="n">
        <v>7</v>
      </c>
      <c r="F30" s="14" t="n">
        <v>7</v>
      </c>
      <c r="G30" s="8" t="n">
        <v>8</v>
      </c>
      <c r="H30" s="9" t="n">
        <f aca="false">SUM(D30:G30)</f>
        <v>29</v>
      </c>
      <c r="I30" s="10" t="n">
        <f aca="false">ROUND(H30/4,1)</f>
        <v>7.3</v>
      </c>
      <c r="J30" s="11" t="s">
        <v>27</v>
      </c>
      <c r="K30" s="12" t="s">
        <v>74</v>
      </c>
      <c r="L30" s="13" t="s">
        <v>75</v>
      </c>
    </row>
    <row r="31" customFormat="false" ht="24" hidden="false" customHeight="true" outlineLevel="0" collapsed="false">
      <c r="A31" s="21" t="n">
        <v>6</v>
      </c>
      <c r="B31" s="22" t="s">
        <v>76</v>
      </c>
      <c r="C31" s="23" t="s">
        <v>77</v>
      </c>
      <c r="D31" s="14" t="n">
        <v>7</v>
      </c>
      <c r="E31" s="14" t="n">
        <v>7</v>
      </c>
      <c r="F31" s="14" t="n">
        <v>7</v>
      </c>
      <c r="G31" s="8" t="n">
        <v>8</v>
      </c>
      <c r="H31" s="9" t="n">
        <f aca="false">SUM(D31:G31)</f>
        <v>29</v>
      </c>
      <c r="I31" s="10" t="n">
        <f aca="false">ROUND(H31/4,1)</f>
        <v>7.3</v>
      </c>
      <c r="J31" s="11" t="s">
        <v>27</v>
      </c>
      <c r="K31" s="12" t="s">
        <v>78</v>
      </c>
      <c r="L31" s="13" t="s">
        <v>79</v>
      </c>
    </row>
    <row r="32" customFormat="false" ht="24" hidden="false" customHeight="true" outlineLevel="0" collapsed="false">
      <c r="A32" s="21" t="n">
        <v>7</v>
      </c>
      <c r="B32" s="22" t="s">
        <v>80</v>
      </c>
      <c r="C32" s="23" t="s">
        <v>81</v>
      </c>
      <c r="D32" s="14" t="n">
        <v>7</v>
      </c>
      <c r="E32" s="14" t="n">
        <v>7</v>
      </c>
      <c r="F32" s="14" t="n">
        <v>7</v>
      </c>
      <c r="G32" s="14" t="n">
        <v>7</v>
      </c>
      <c r="H32" s="9" t="n">
        <f aca="false">SUM(D32:G32)</f>
        <v>28</v>
      </c>
      <c r="I32" s="10" t="n">
        <f aca="false">ROUND(H32/4,1)</f>
        <v>7</v>
      </c>
      <c r="J32" s="11" t="s">
        <v>27</v>
      </c>
      <c r="K32" s="12" t="s">
        <v>82</v>
      </c>
      <c r="L32" s="13" t="s">
        <v>83</v>
      </c>
    </row>
    <row r="33" customFormat="false" ht="24" hidden="false" customHeight="true" outlineLevel="0" collapsed="false">
      <c r="A33" s="21" t="n">
        <v>8</v>
      </c>
      <c r="B33" s="22" t="s">
        <v>84</v>
      </c>
      <c r="C33" s="23" t="s">
        <v>81</v>
      </c>
      <c r="D33" s="14" t="n">
        <v>7</v>
      </c>
      <c r="E33" s="14" t="n">
        <v>7</v>
      </c>
      <c r="F33" s="14" t="n">
        <v>7</v>
      </c>
      <c r="G33" s="14" t="n">
        <v>7</v>
      </c>
      <c r="H33" s="9" t="n">
        <f aca="false">SUM(D33:G33)</f>
        <v>28</v>
      </c>
      <c r="I33" s="10" t="n">
        <f aca="false">ROUND(H33/4,1)</f>
        <v>7</v>
      </c>
      <c r="J33" s="11" t="s">
        <v>27</v>
      </c>
      <c r="K33" s="12" t="s">
        <v>85</v>
      </c>
      <c r="L33" s="13" t="s">
        <v>86</v>
      </c>
    </row>
    <row r="34" customFormat="false" ht="24" hidden="false" customHeight="true" outlineLevel="0" collapsed="false">
      <c r="A34" s="21" t="n">
        <v>9</v>
      </c>
      <c r="B34" s="22" t="s">
        <v>87</v>
      </c>
      <c r="C34" s="23" t="s">
        <v>77</v>
      </c>
      <c r="D34" s="14" t="n">
        <v>7</v>
      </c>
      <c r="E34" s="14" t="n">
        <v>7</v>
      </c>
      <c r="F34" s="14" t="n">
        <v>7</v>
      </c>
      <c r="G34" s="14" t="n">
        <v>7</v>
      </c>
      <c r="H34" s="9" t="n">
        <f aca="false">SUM(D34:G34)</f>
        <v>28</v>
      </c>
      <c r="I34" s="10" t="n">
        <f aca="false">ROUND(H34/4,1)</f>
        <v>7</v>
      </c>
      <c r="J34" s="11" t="s">
        <v>27</v>
      </c>
      <c r="K34" s="12" t="s">
        <v>88</v>
      </c>
      <c r="L34" s="13" t="s">
        <v>89</v>
      </c>
    </row>
    <row r="35" customFormat="false" ht="24" hidden="false" customHeight="true" outlineLevel="0" collapsed="false">
      <c r="A35" s="21" t="n">
        <v>10</v>
      </c>
      <c r="B35" s="22" t="s">
        <v>90</v>
      </c>
      <c r="C35" s="23" t="s">
        <v>81</v>
      </c>
      <c r="D35" s="14" t="n">
        <v>7</v>
      </c>
      <c r="E35" s="14" t="n">
        <v>7</v>
      </c>
      <c r="F35" s="14" t="n">
        <v>7</v>
      </c>
      <c r="G35" s="14" t="n">
        <v>7</v>
      </c>
      <c r="H35" s="9" t="n">
        <f aca="false">SUM(D35:G35)</f>
        <v>28</v>
      </c>
      <c r="I35" s="10" t="n">
        <f aca="false">ROUND(H35/4,1)</f>
        <v>7</v>
      </c>
      <c r="J35" s="11" t="s">
        <v>27</v>
      </c>
      <c r="K35" s="12" t="s">
        <v>91</v>
      </c>
      <c r="L35" s="13" t="s">
        <v>92</v>
      </c>
    </row>
    <row r="36" customFormat="false" ht="24" hidden="false" customHeight="true" outlineLevel="0" collapsed="false">
      <c r="A36" s="21" t="n">
        <v>11</v>
      </c>
      <c r="B36" s="22" t="s">
        <v>93</v>
      </c>
      <c r="C36" s="23" t="s">
        <v>77</v>
      </c>
      <c r="D36" s="14" t="n">
        <v>6</v>
      </c>
      <c r="E36" s="14" t="n">
        <v>7</v>
      </c>
      <c r="F36" s="14" t="n">
        <v>6</v>
      </c>
      <c r="G36" s="14" t="n">
        <v>7</v>
      </c>
      <c r="H36" s="9" t="n">
        <f aca="false">SUM(D36:G36)</f>
        <v>26</v>
      </c>
      <c r="I36" s="10" t="n">
        <f aca="false">ROUND(H36/4,1)</f>
        <v>6.5</v>
      </c>
      <c r="J36" s="11" t="s">
        <v>47</v>
      </c>
      <c r="K36" s="12" t="s">
        <v>94</v>
      </c>
      <c r="L36" s="13" t="s">
        <v>95</v>
      </c>
    </row>
    <row r="37" customFormat="false" ht="24" hidden="false" customHeight="true" outlineLevel="0" collapsed="false">
      <c r="A37" s="21" t="n">
        <v>12</v>
      </c>
      <c r="B37" s="22" t="s">
        <v>96</v>
      </c>
      <c r="C37" s="23" t="s">
        <v>97</v>
      </c>
      <c r="D37" s="19" t="n">
        <v>5</v>
      </c>
      <c r="E37" s="19" t="n">
        <v>5</v>
      </c>
      <c r="F37" s="19" t="n">
        <v>5</v>
      </c>
      <c r="G37" s="14" t="n">
        <v>6</v>
      </c>
      <c r="H37" s="9" t="n">
        <f aca="false">SUM(D37:G37)</f>
        <v>21</v>
      </c>
      <c r="I37" s="10" t="n">
        <f aca="false">ROUND(H37/4,1)</f>
        <v>5.3</v>
      </c>
      <c r="J37" s="11" t="s">
        <v>60</v>
      </c>
      <c r="K37" s="12" t="s">
        <v>98</v>
      </c>
      <c r="L37" s="13" t="s">
        <v>99</v>
      </c>
    </row>
    <row r="38" customFormat="false" ht="24" hidden="false" customHeight="true" outlineLevel="0" collapsed="false">
      <c r="A38" s="21" t="n">
        <v>13</v>
      </c>
      <c r="B38" s="22" t="s">
        <v>100</v>
      </c>
      <c r="C38" s="23" t="s">
        <v>97</v>
      </c>
      <c r="D38" s="19" t="n">
        <v>5</v>
      </c>
      <c r="E38" s="19" t="n">
        <v>5</v>
      </c>
      <c r="F38" s="19" t="n">
        <v>5</v>
      </c>
      <c r="G38" s="19" t="n">
        <v>5</v>
      </c>
      <c r="H38" s="9" t="n">
        <f aca="false">SUM(D38:G38)</f>
        <v>20</v>
      </c>
      <c r="I38" s="10" t="n">
        <f aca="false">ROUND(H38/4,1)</f>
        <v>5</v>
      </c>
      <c r="J38" s="11" t="s">
        <v>60</v>
      </c>
      <c r="K38" s="12" t="s">
        <v>101</v>
      </c>
      <c r="L38" s="13" t="s">
        <v>102</v>
      </c>
    </row>
    <row r="39" customFormat="false" ht="24" hidden="false" customHeight="true" outlineLevel="0" collapsed="false">
      <c r="A39" s="21" t="n">
        <v>14</v>
      </c>
      <c r="B39" s="22" t="s">
        <v>103</v>
      </c>
      <c r="C39" s="23" t="s">
        <v>97</v>
      </c>
      <c r="D39" s="19" t="n">
        <v>5</v>
      </c>
      <c r="E39" s="19" t="n">
        <v>5</v>
      </c>
      <c r="F39" s="19" t="n">
        <v>5</v>
      </c>
      <c r="G39" s="19" t="n">
        <v>5</v>
      </c>
      <c r="H39" s="9" t="n">
        <f aca="false">SUM(D39:G39)</f>
        <v>20</v>
      </c>
      <c r="I39" s="10" t="n">
        <f aca="false">ROUND(H39/4,1)</f>
        <v>5</v>
      </c>
      <c r="J39" s="11" t="s">
        <v>60</v>
      </c>
      <c r="K39" s="12" t="s">
        <v>104</v>
      </c>
      <c r="L39" s="13" t="s">
        <v>105</v>
      </c>
    </row>
    <row r="41" customFormat="false" ht="27.75" hidden="false" customHeight="true" outlineLevel="0" collapsed="false">
      <c r="A41" s="24" t="s">
        <v>106</v>
      </c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</row>
    <row r="42" customFormat="false" ht="37.5" hidden="false" customHeight="true" outlineLevel="0" collapsed="false">
      <c r="A42" s="4" t="s">
        <v>3</v>
      </c>
      <c r="B42" s="4" t="s">
        <v>4</v>
      </c>
      <c r="C42" s="4" t="s">
        <v>5</v>
      </c>
      <c r="D42" s="4" t="s">
        <v>6</v>
      </c>
      <c r="E42" s="4" t="s">
        <v>7</v>
      </c>
      <c r="F42" s="4" t="s">
        <v>8</v>
      </c>
      <c r="G42" s="4" t="s">
        <v>9</v>
      </c>
      <c r="H42" s="4" t="s">
        <v>10</v>
      </c>
      <c r="I42" s="4" t="s">
        <v>11</v>
      </c>
      <c r="J42" s="4" t="s">
        <v>12</v>
      </c>
      <c r="K42" s="4" t="s">
        <v>13</v>
      </c>
      <c r="L42" s="4" t="s">
        <v>14</v>
      </c>
    </row>
    <row r="43" customFormat="false" ht="24" hidden="false" customHeight="true" outlineLevel="0" collapsed="false">
      <c r="A43" s="16" t="n">
        <v>1</v>
      </c>
      <c r="B43" s="17" t="s">
        <v>107</v>
      </c>
      <c r="C43" s="18" t="s">
        <v>16</v>
      </c>
      <c r="D43" s="8" t="n">
        <v>9</v>
      </c>
      <c r="E43" s="8" t="n">
        <v>8</v>
      </c>
      <c r="F43" s="8" t="n">
        <v>9</v>
      </c>
      <c r="G43" s="8" t="n">
        <v>8</v>
      </c>
      <c r="H43" s="9" t="n">
        <f aca="false">SUM(D43:G43)</f>
        <v>34</v>
      </c>
      <c r="I43" s="10" t="n">
        <f aca="false">ROUND(H43/4,1)</f>
        <v>8.5</v>
      </c>
      <c r="J43" s="11" t="s">
        <v>17</v>
      </c>
      <c r="K43" s="12" t="s">
        <v>108</v>
      </c>
      <c r="L43" s="13" t="s">
        <v>109</v>
      </c>
    </row>
    <row r="44" customFormat="false" ht="24" hidden="false" customHeight="true" outlineLevel="0" collapsed="false">
      <c r="A44" s="16" t="n">
        <v>2</v>
      </c>
      <c r="B44" s="17" t="s">
        <v>110</v>
      </c>
      <c r="C44" s="18" t="s">
        <v>16</v>
      </c>
      <c r="D44" s="8" t="n">
        <v>8</v>
      </c>
      <c r="E44" s="8" t="n">
        <v>8</v>
      </c>
      <c r="F44" s="8" t="n">
        <v>8</v>
      </c>
      <c r="G44" s="8" t="n">
        <v>8</v>
      </c>
      <c r="H44" s="9" t="n">
        <f aca="false">SUM(D44:G44)</f>
        <v>32</v>
      </c>
      <c r="I44" s="10" t="n">
        <f aca="false">ROUND(H44/4,1)</f>
        <v>8</v>
      </c>
      <c r="J44" s="11" t="s">
        <v>27</v>
      </c>
      <c r="K44" s="12" t="s">
        <v>111</v>
      </c>
      <c r="L44" s="13" t="s">
        <v>112</v>
      </c>
    </row>
    <row r="45" customFormat="false" ht="24" hidden="false" customHeight="true" outlineLevel="0" collapsed="false">
      <c r="A45" s="16" t="n">
        <v>3</v>
      </c>
      <c r="B45" s="17" t="s">
        <v>113</v>
      </c>
      <c r="C45" s="18" t="s">
        <v>16</v>
      </c>
      <c r="D45" s="8" t="n">
        <v>8</v>
      </c>
      <c r="E45" s="14" t="n">
        <v>7</v>
      </c>
      <c r="F45" s="8" t="n">
        <v>8</v>
      </c>
      <c r="G45" s="8" t="n">
        <v>8</v>
      </c>
      <c r="H45" s="9" t="n">
        <f aca="false">SUM(D45:G45)</f>
        <v>31</v>
      </c>
      <c r="I45" s="10" t="n">
        <f aca="false">ROUND(H45/4,1)</f>
        <v>7.8</v>
      </c>
      <c r="J45" s="11" t="s">
        <v>27</v>
      </c>
      <c r="K45" s="12" t="s">
        <v>114</v>
      </c>
      <c r="L45" s="13" t="s">
        <v>115</v>
      </c>
    </row>
    <row r="46" customFormat="false" ht="24" hidden="false" customHeight="true" outlineLevel="0" collapsed="false">
      <c r="A46" s="16" t="n">
        <v>4</v>
      </c>
      <c r="B46" s="17" t="s">
        <v>116</v>
      </c>
      <c r="C46" s="18" t="s">
        <v>16</v>
      </c>
      <c r="D46" s="14" t="n">
        <v>7</v>
      </c>
      <c r="E46" s="14" t="n">
        <v>7</v>
      </c>
      <c r="F46" s="14" t="n">
        <v>7</v>
      </c>
      <c r="G46" s="8" t="n">
        <v>8</v>
      </c>
      <c r="H46" s="9" t="n">
        <f aca="false">SUM(D46:G46)</f>
        <v>29</v>
      </c>
      <c r="I46" s="10" t="n">
        <f aca="false">ROUND(H46/4,1)</f>
        <v>7.3</v>
      </c>
      <c r="J46" s="11" t="s">
        <v>27</v>
      </c>
      <c r="K46" s="12" t="s">
        <v>74</v>
      </c>
      <c r="L46" s="13" t="s">
        <v>117</v>
      </c>
    </row>
    <row r="47" customFormat="false" ht="24" hidden="false" customHeight="true" outlineLevel="0" collapsed="false">
      <c r="A47" s="16" t="n">
        <v>5</v>
      </c>
      <c r="B47" s="17" t="s">
        <v>118</v>
      </c>
      <c r="C47" s="18" t="s">
        <v>16</v>
      </c>
      <c r="D47" s="14" t="n">
        <v>7</v>
      </c>
      <c r="E47" s="14" t="n">
        <v>7</v>
      </c>
      <c r="F47" s="14" t="n">
        <v>7</v>
      </c>
      <c r="G47" s="14" t="n">
        <v>7</v>
      </c>
      <c r="H47" s="9" t="n">
        <f aca="false">SUM(D47:G47)</f>
        <v>28</v>
      </c>
      <c r="I47" s="10" t="n">
        <f aca="false">ROUND(H47/4,1)</f>
        <v>7</v>
      </c>
      <c r="J47" s="11" t="s">
        <v>27</v>
      </c>
      <c r="K47" s="12" t="s">
        <v>119</v>
      </c>
      <c r="L47" s="13" t="s">
        <v>120</v>
      </c>
    </row>
    <row r="48" customFormat="false" ht="24" hidden="false" customHeight="true" outlineLevel="0" collapsed="false">
      <c r="A48" s="16" t="n">
        <v>6</v>
      </c>
      <c r="B48" s="17" t="s">
        <v>121</v>
      </c>
      <c r="C48" s="18" t="s">
        <v>81</v>
      </c>
      <c r="D48" s="14" t="n">
        <v>7</v>
      </c>
      <c r="E48" s="14" t="n">
        <v>7</v>
      </c>
      <c r="F48" s="14" t="n">
        <v>7</v>
      </c>
      <c r="G48" s="14" t="n">
        <v>7</v>
      </c>
      <c r="H48" s="9" t="n">
        <f aca="false">SUM(D48:G48)</f>
        <v>28</v>
      </c>
      <c r="I48" s="10" t="n">
        <f aca="false">ROUND(H48/4,1)</f>
        <v>7</v>
      </c>
      <c r="J48" s="11" t="s">
        <v>27</v>
      </c>
      <c r="K48" s="12" t="s">
        <v>85</v>
      </c>
      <c r="L48" s="13" t="s">
        <v>122</v>
      </c>
    </row>
    <row r="49" customFormat="false" ht="24" hidden="false" customHeight="true" outlineLevel="0" collapsed="false">
      <c r="A49" s="16" t="n">
        <v>7</v>
      </c>
      <c r="B49" s="17" t="s">
        <v>123</v>
      </c>
      <c r="C49" s="18" t="s">
        <v>81</v>
      </c>
      <c r="D49" s="14" t="n">
        <v>7</v>
      </c>
      <c r="E49" s="14" t="n">
        <v>7</v>
      </c>
      <c r="F49" s="14" t="n">
        <v>7</v>
      </c>
      <c r="G49" s="14" t="n">
        <v>7</v>
      </c>
      <c r="H49" s="9" t="n">
        <f aca="false">SUM(D49:G49)</f>
        <v>28</v>
      </c>
      <c r="I49" s="10" t="n">
        <f aca="false">ROUND(H49/4,1)</f>
        <v>7</v>
      </c>
      <c r="J49" s="11" t="s">
        <v>27</v>
      </c>
      <c r="K49" s="12" t="s">
        <v>82</v>
      </c>
      <c r="L49" s="13" t="s">
        <v>124</v>
      </c>
    </row>
    <row r="50" customFormat="false" ht="24" hidden="false" customHeight="true" outlineLevel="0" collapsed="false">
      <c r="A50" s="16" t="n">
        <v>8</v>
      </c>
      <c r="B50" s="17" t="s">
        <v>125</v>
      </c>
      <c r="C50" s="18" t="s">
        <v>77</v>
      </c>
      <c r="D50" s="14" t="n">
        <v>7</v>
      </c>
      <c r="E50" s="14" t="n">
        <v>7</v>
      </c>
      <c r="F50" s="14" t="n">
        <v>7</v>
      </c>
      <c r="G50" s="14" t="n">
        <v>7</v>
      </c>
      <c r="H50" s="9" t="n">
        <f aca="false">SUM(D50:G50)</f>
        <v>28</v>
      </c>
      <c r="I50" s="10" t="n">
        <f aca="false">ROUND(H50/4,1)</f>
        <v>7</v>
      </c>
      <c r="J50" s="11" t="s">
        <v>27</v>
      </c>
      <c r="K50" s="12" t="s">
        <v>126</v>
      </c>
      <c r="L50" s="13" t="s">
        <v>127</v>
      </c>
    </row>
    <row r="51" customFormat="false" ht="24" hidden="false" customHeight="true" outlineLevel="0" collapsed="false">
      <c r="A51" s="16" t="n">
        <v>9</v>
      </c>
      <c r="B51" s="17" t="s">
        <v>128</v>
      </c>
      <c r="C51" s="18" t="s">
        <v>77</v>
      </c>
      <c r="D51" s="14" t="n">
        <v>7</v>
      </c>
      <c r="E51" s="14" t="n">
        <v>7</v>
      </c>
      <c r="F51" s="14" t="n">
        <v>7</v>
      </c>
      <c r="G51" s="14" t="n">
        <v>7</v>
      </c>
      <c r="H51" s="9" t="n">
        <f aca="false">SUM(D51:G51)</f>
        <v>28</v>
      </c>
      <c r="I51" s="10" t="n">
        <f aca="false">ROUND(H51/4,1)</f>
        <v>7</v>
      </c>
      <c r="J51" s="11" t="s">
        <v>27</v>
      </c>
      <c r="K51" s="12" t="s">
        <v>129</v>
      </c>
      <c r="L51" s="13" t="s">
        <v>130</v>
      </c>
    </row>
    <row r="52" customFormat="false" ht="24" hidden="false" customHeight="true" outlineLevel="0" collapsed="false">
      <c r="A52" s="16" t="n">
        <v>10</v>
      </c>
      <c r="B52" s="17" t="s">
        <v>131</v>
      </c>
      <c r="C52" s="18" t="s">
        <v>81</v>
      </c>
      <c r="D52" s="14" t="n">
        <v>6</v>
      </c>
      <c r="E52" s="14" t="n">
        <v>6</v>
      </c>
      <c r="F52" s="14" t="n">
        <v>6</v>
      </c>
      <c r="G52" s="14" t="n">
        <v>6</v>
      </c>
      <c r="H52" s="9" t="n">
        <f aca="false">SUM(D52:G52)</f>
        <v>24</v>
      </c>
      <c r="I52" s="10" t="n">
        <f aca="false">ROUND(H52/4,1)</f>
        <v>6</v>
      </c>
      <c r="J52" s="11" t="s">
        <v>47</v>
      </c>
      <c r="K52" s="12" t="s">
        <v>132</v>
      </c>
      <c r="L52" s="13" t="s">
        <v>133</v>
      </c>
    </row>
    <row r="53" customFormat="false" ht="24" hidden="false" customHeight="true" outlineLevel="0" collapsed="false">
      <c r="A53" s="16" t="n">
        <v>11</v>
      </c>
      <c r="B53" s="17" t="s">
        <v>134</v>
      </c>
      <c r="C53" s="18" t="s">
        <v>77</v>
      </c>
      <c r="D53" s="14" t="n">
        <v>6</v>
      </c>
      <c r="E53" s="14" t="n">
        <v>6</v>
      </c>
      <c r="F53" s="14" t="n">
        <v>6</v>
      </c>
      <c r="G53" s="14" t="n">
        <v>6</v>
      </c>
      <c r="H53" s="9" t="n">
        <f aca="false">SUM(D53:G53)</f>
        <v>24</v>
      </c>
      <c r="I53" s="10" t="n">
        <f aca="false">ROUND(H53/4,1)</f>
        <v>6</v>
      </c>
      <c r="J53" s="11" t="s">
        <v>47</v>
      </c>
      <c r="K53" s="12" t="s">
        <v>135</v>
      </c>
      <c r="L53" s="13" t="s">
        <v>136</v>
      </c>
    </row>
    <row r="54" customFormat="false" ht="24" hidden="false" customHeight="true" outlineLevel="0" collapsed="false">
      <c r="A54" s="16" t="n">
        <v>12</v>
      </c>
      <c r="B54" s="17" t="s">
        <v>137</v>
      </c>
      <c r="C54" s="18" t="s">
        <v>97</v>
      </c>
      <c r="D54" s="19" t="n">
        <v>5</v>
      </c>
      <c r="E54" s="19" t="n">
        <v>5</v>
      </c>
      <c r="F54" s="19" t="n">
        <v>5</v>
      </c>
      <c r="G54" s="14" t="n">
        <v>6</v>
      </c>
      <c r="H54" s="9" t="n">
        <f aca="false">SUM(D54:G54)</f>
        <v>21</v>
      </c>
      <c r="I54" s="10" t="n">
        <f aca="false">ROUND(H54/4,1)</f>
        <v>5.3</v>
      </c>
      <c r="J54" s="11" t="s">
        <v>60</v>
      </c>
      <c r="K54" s="12" t="s">
        <v>104</v>
      </c>
      <c r="L54" s="13" t="s">
        <v>138</v>
      </c>
    </row>
    <row r="55" customFormat="false" ht="24" hidden="false" customHeight="true" outlineLevel="0" collapsed="false">
      <c r="A55" s="16" t="n">
        <v>13</v>
      </c>
      <c r="B55" s="17" t="s">
        <v>139</v>
      </c>
      <c r="C55" s="18" t="s">
        <v>97</v>
      </c>
      <c r="D55" s="19" t="n">
        <v>5</v>
      </c>
      <c r="E55" s="19" t="n">
        <v>5</v>
      </c>
      <c r="F55" s="19" t="n">
        <v>5</v>
      </c>
      <c r="G55" s="19" t="n">
        <v>5</v>
      </c>
      <c r="H55" s="9" t="n">
        <f aca="false">SUM(D55:G55)</f>
        <v>20</v>
      </c>
      <c r="I55" s="10" t="n">
        <f aca="false">ROUND(H55/4,1)</f>
        <v>5</v>
      </c>
      <c r="J55" s="11" t="s">
        <v>60</v>
      </c>
      <c r="K55" s="12" t="s">
        <v>140</v>
      </c>
      <c r="L55" s="13" t="s">
        <v>141</v>
      </c>
    </row>
    <row r="56" customFormat="false" ht="24" hidden="false" customHeight="true" outlineLevel="0" collapsed="false">
      <c r="A56" s="16" t="n">
        <v>14</v>
      </c>
      <c r="B56" s="17" t="s">
        <v>142</v>
      </c>
      <c r="C56" s="18" t="s">
        <v>97</v>
      </c>
      <c r="D56" s="19" t="n">
        <v>4</v>
      </c>
      <c r="E56" s="19" t="n">
        <v>5</v>
      </c>
      <c r="F56" s="19" t="n">
        <v>4</v>
      </c>
      <c r="G56" s="19" t="n">
        <v>4</v>
      </c>
      <c r="H56" s="9" t="n">
        <f aca="false">SUM(D56:G56)</f>
        <v>17</v>
      </c>
      <c r="I56" s="10" t="n">
        <f aca="false">ROUND(H56/4,1)</f>
        <v>4.3</v>
      </c>
      <c r="J56" s="11" t="s">
        <v>60</v>
      </c>
      <c r="K56" s="12" t="s">
        <v>143</v>
      </c>
      <c r="L56" s="13" t="s">
        <v>144</v>
      </c>
    </row>
    <row r="58" customFormat="false" ht="27.75" hidden="false" customHeight="true" outlineLevel="0" collapsed="false">
      <c r="A58" s="25" t="s">
        <v>145</v>
      </c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</row>
    <row r="59" customFormat="false" ht="37.5" hidden="false" customHeight="true" outlineLevel="0" collapsed="false">
      <c r="A59" s="4" t="s">
        <v>3</v>
      </c>
      <c r="B59" s="4" t="s">
        <v>4</v>
      </c>
      <c r="C59" s="4" t="s">
        <v>5</v>
      </c>
      <c r="D59" s="4" t="s">
        <v>6</v>
      </c>
      <c r="E59" s="4" t="s">
        <v>7</v>
      </c>
      <c r="F59" s="4" t="s">
        <v>8</v>
      </c>
      <c r="G59" s="4" t="s">
        <v>9</v>
      </c>
      <c r="H59" s="4" t="s">
        <v>10</v>
      </c>
      <c r="I59" s="4" t="s">
        <v>11</v>
      </c>
      <c r="J59" s="4" t="s">
        <v>12</v>
      </c>
      <c r="K59" s="4" t="s">
        <v>13</v>
      </c>
      <c r="L59" s="4" t="s">
        <v>14</v>
      </c>
    </row>
    <row r="60" customFormat="false" ht="24" hidden="false" customHeight="true" outlineLevel="0" collapsed="false">
      <c r="A60" s="26" t="n">
        <v>1</v>
      </c>
      <c r="B60" s="27" t="s">
        <v>146</v>
      </c>
      <c r="C60" s="28" t="s">
        <v>81</v>
      </c>
      <c r="D60" s="8" t="n">
        <v>9</v>
      </c>
      <c r="E60" s="8" t="n">
        <v>9</v>
      </c>
      <c r="F60" s="8" t="n">
        <v>9</v>
      </c>
      <c r="G60" s="14" t="n">
        <v>7</v>
      </c>
      <c r="H60" s="9" t="n">
        <f aca="false">SUM(D60:G60)</f>
        <v>34</v>
      </c>
      <c r="I60" s="10" t="n">
        <f aca="false">ROUND(H60/4,1)</f>
        <v>8.5</v>
      </c>
      <c r="J60" s="11" t="s">
        <v>17</v>
      </c>
      <c r="K60" s="12" t="s">
        <v>147</v>
      </c>
      <c r="L60" s="13" t="s">
        <v>148</v>
      </c>
    </row>
    <row r="61" customFormat="false" ht="24" hidden="false" customHeight="true" outlineLevel="0" collapsed="false">
      <c r="A61" s="26" t="n">
        <v>2</v>
      </c>
      <c r="B61" s="27" t="s">
        <v>149</v>
      </c>
      <c r="C61" s="28" t="s">
        <v>16</v>
      </c>
      <c r="D61" s="8" t="n">
        <v>8</v>
      </c>
      <c r="E61" s="8" t="n">
        <v>9</v>
      </c>
      <c r="F61" s="8" t="n">
        <v>8</v>
      </c>
      <c r="G61" s="8" t="n">
        <v>8</v>
      </c>
      <c r="H61" s="9" t="n">
        <f aca="false">SUM(D61:G61)</f>
        <v>33</v>
      </c>
      <c r="I61" s="10" t="n">
        <f aca="false">ROUND(H61/4,1)</f>
        <v>8.3</v>
      </c>
      <c r="J61" s="11" t="s">
        <v>27</v>
      </c>
      <c r="K61" s="12" t="s">
        <v>150</v>
      </c>
      <c r="L61" s="13" t="s">
        <v>151</v>
      </c>
    </row>
    <row r="62" customFormat="false" ht="24" hidden="false" customHeight="true" outlineLevel="0" collapsed="false">
      <c r="A62" s="26" t="n">
        <v>3</v>
      </c>
      <c r="B62" s="27" t="s">
        <v>152</v>
      </c>
      <c r="C62" s="28" t="s">
        <v>77</v>
      </c>
      <c r="D62" s="8" t="n">
        <v>8</v>
      </c>
      <c r="E62" s="8" t="n">
        <v>8</v>
      </c>
      <c r="F62" s="8" t="n">
        <v>8</v>
      </c>
      <c r="G62" s="14" t="n">
        <v>7</v>
      </c>
      <c r="H62" s="9" t="n">
        <f aca="false">SUM(D62:G62)</f>
        <v>31</v>
      </c>
      <c r="I62" s="10" t="n">
        <f aca="false">ROUND(H62/4,1)</f>
        <v>7.8</v>
      </c>
      <c r="J62" s="11" t="s">
        <v>27</v>
      </c>
      <c r="K62" s="12" t="s">
        <v>126</v>
      </c>
      <c r="L62" s="13" t="s">
        <v>153</v>
      </c>
    </row>
    <row r="63" customFormat="false" ht="24" hidden="false" customHeight="true" outlineLevel="0" collapsed="false">
      <c r="A63" s="26" t="n">
        <v>4</v>
      </c>
      <c r="B63" s="27" t="s">
        <v>154</v>
      </c>
      <c r="C63" s="28" t="s">
        <v>77</v>
      </c>
      <c r="D63" s="8" t="n">
        <v>8</v>
      </c>
      <c r="E63" s="8" t="n">
        <v>8</v>
      </c>
      <c r="F63" s="8" t="n">
        <v>8</v>
      </c>
      <c r="G63" s="14" t="n">
        <v>7</v>
      </c>
      <c r="H63" s="9" t="n">
        <f aca="false">SUM(D63:G63)</f>
        <v>31</v>
      </c>
      <c r="I63" s="10" t="n">
        <f aca="false">ROUND(H63/4,1)</f>
        <v>7.8</v>
      </c>
      <c r="J63" s="11" t="s">
        <v>27</v>
      </c>
      <c r="K63" s="12" t="s">
        <v>129</v>
      </c>
      <c r="L63" s="13" t="s">
        <v>155</v>
      </c>
    </row>
    <row r="64" customFormat="false" ht="24" hidden="false" customHeight="true" outlineLevel="0" collapsed="false">
      <c r="A64" s="26" t="n">
        <v>5</v>
      </c>
      <c r="B64" s="27" t="s">
        <v>156</v>
      </c>
      <c r="C64" s="28" t="s">
        <v>81</v>
      </c>
      <c r="D64" s="8" t="n">
        <v>8</v>
      </c>
      <c r="E64" s="8" t="n">
        <v>8</v>
      </c>
      <c r="F64" s="8" t="n">
        <v>8</v>
      </c>
      <c r="G64" s="14" t="n">
        <v>7</v>
      </c>
      <c r="H64" s="9" t="n">
        <f aca="false">SUM(D64:G64)</f>
        <v>31</v>
      </c>
      <c r="I64" s="10" t="n">
        <f aca="false">ROUND(H64/4,1)</f>
        <v>7.8</v>
      </c>
      <c r="J64" s="11" t="s">
        <v>27</v>
      </c>
      <c r="K64" s="12" t="s">
        <v>157</v>
      </c>
      <c r="L64" s="13" t="s">
        <v>158</v>
      </c>
    </row>
    <row r="65" customFormat="false" ht="24" hidden="false" customHeight="true" outlineLevel="0" collapsed="false">
      <c r="A65" s="26" t="n">
        <v>6</v>
      </c>
      <c r="B65" s="27" t="s">
        <v>159</v>
      </c>
      <c r="C65" s="28" t="s">
        <v>16</v>
      </c>
      <c r="D65" s="14" t="n">
        <v>6</v>
      </c>
      <c r="E65" s="8" t="n">
        <v>8</v>
      </c>
      <c r="F65" s="14" t="n">
        <v>7</v>
      </c>
      <c r="G65" s="14" t="n">
        <v>7</v>
      </c>
      <c r="H65" s="9" t="n">
        <f aca="false">SUM(D65:G65)</f>
        <v>28</v>
      </c>
      <c r="I65" s="10" t="n">
        <f aca="false">ROUND(H65/4,1)</f>
        <v>7</v>
      </c>
      <c r="J65" s="11" t="s">
        <v>27</v>
      </c>
      <c r="K65" s="12" t="s">
        <v>160</v>
      </c>
      <c r="L65" s="13" t="s">
        <v>161</v>
      </c>
    </row>
    <row r="66" customFormat="false" ht="24" hidden="false" customHeight="true" outlineLevel="0" collapsed="false">
      <c r="A66" s="26" t="n">
        <v>7</v>
      </c>
      <c r="B66" s="27" t="s">
        <v>162</v>
      </c>
      <c r="C66" s="28" t="s">
        <v>77</v>
      </c>
      <c r="D66" s="14" t="n">
        <v>7</v>
      </c>
      <c r="E66" s="14" t="n">
        <v>7</v>
      </c>
      <c r="F66" s="14" t="n">
        <v>7</v>
      </c>
      <c r="G66" s="14" t="n">
        <v>7</v>
      </c>
      <c r="H66" s="9" t="n">
        <f aca="false">SUM(D66:G66)</f>
        <v>28</v>
      </c>
      <c r="I66" s="10" t="n">
        <f aca="false">ROUND(H66/4,1)</f>
        <v>7</v>
      </c>
      <c r="J66" s="11" t="s">
        <v>27</v>
      </c>
      <c r="K66" s="12" t="s">
        <v>163</v>
      </c>
      <c r="L66" s="13" t="s">
        <v>164</v>
      </c>
    </row>
    <row r="67" customFormat="false" ht="24" hidden="false" customHeight="true" outlineLevel="0" collapsed="false">
      <c r="A67" s="26" t="n">
        <v>8</v>
      </c>
      <c r="B67" s="27" t="s">
        <v>165</v>
      </c>
      <c r="C67" s="28" t="s">
        <v>97</v>
      </c>
      <c r="D67" s="14" t="n">
        <v>7</v>
      </c>
      <c r="E67" s="14" t="n">
        <v>7</v>
      </c>
      <c r="F67" s="14" t="n">
        <v>7</v>
      </c>
      <c r="G67" s="14" t="n">
        <v>7</v>
      </c>
      <c r="H67" s="9" t="n">
        <f aca="false">SUM(D67:G67)</f>
        <v>28</v>
      </c>
      <c r="I67" s="10" t="n">
        <f aca="false">ROUND(H67/4,1)</f>
        <v>7</v>
      </c>
      <c r="J67" s="11" t="s">
        <v>27</v>
      </c>
      <c r="K67" s="12" t="s">
        <v>166</v>
      </c>
      <c r="L67" s="13" t="s">
        <v>167</v>
      </c>
    </row>
    <row r="68" customFormat="false" ht="24" hidden="false" customHeight="true" outlineLevel="0" collapsed="false">
      <c r="A68" s="26" t="n">
        <v>9</v>
      </c>
      <c r="B68" s="27" t="s">
        <v>168</v>
      </c>
      <c r="C68" s="28" t="s">
        <v>16</v>
      </c>
      <c r="D68" s="14" t="n">
        <v>7</v>
      </c>
      <c r="E68" s="14" t="n">
        <v>7</v>
      </c>
      <c r="F68" s="14" t="n">
        <v>7</v>
      </c>
      <c r="G68" s="14" t="n">
        <v>7</v>
      </c>
      <c r="H68" s="9" t="n">
        <f aca="false">SUM(D68:G68)</f>
        <v>28</v>
      </c>
      <c r="I68" s="10" t="n">
        <f aca="false">ROUND(H68/4,1)</f>
        <v>7</v>
      </c>
      <c r="J68" s="11" t="s">
        <v>27</v>
      </c>
      <c r="K68" s="12" t="s">
        <v>169</v>
      </c>
      <c r="L68" s="13" t="s">
        <v>170</v>
      </c>
    </row>
    <row r="69" customFormat="false" ht="24" hidden="false" customHeight="true" outlineLevel="0" collapsed="false">
      <c r="A69" s="26" t="n">
        <v>10</v>
      </c>
      <c r="B69" s="27" t="s">
        <v>171</v>
      </c>
      <c r="C69" s="28" t="s">
        <v>16</v>
      </c>
      <c r="D69" s="14" t="n">
        <v>6</v>
      </c>
      <c r="E69" s="14" t="n">
        <v>7</v>
      </c>
      <c r="F69" s="14" t="n">
        <v>6</v>
      </c>
      <c r="G69" s="14" t="n">
        <v>6</v>
      </c>
      <c r="H69" s="9" t="n">
        <f aca="false">SUM(D69:G69)</f>
        <v>25</v>
      </c>
      <c r="I69" s="10" t="n">
        <f aca="false">ROUND(H69/4,1)</f>
        <v>6.3</v>
      </c>
      <c r="J69" s="11" t="s">
        <v>47</v>
      </c>
      <c r="K69" s="12" t="s">
        <v>172</v>
      </c>
      <c r="L69" s="13" t="s">
        <v>173</v>
      </c>
    </row>
    <row r="70" customFormat="false" ht="24" hidden="false" customHeight="true" outlineLevel="0" collapsed="false">
      <c r="A70" s="26" t="n">
        <v>11</v>
      </c>
      <c r="B70" s="27" t="s">
        <v>174</v>
      </c>
      <c r="C70" s="28" t="s">
        <v>16</v>
      </c>
      <c r="D70" s="19" t="n">
        <v>5</v>
      </c>
      <c r="E70" s="14" t="n">
        <v>6</v>
      </c>
      <c r="F70" s="14" t="n">
        <v>6</v>
      </c>
      <c r="G70" s="19" t="n">
        <v>5</v>
      </c>
      <c r="H70" s="9" t="n">
        <f aca="false">SUM(D70:G70)</f>
        <v>22</v>
      </c>
      <c r="I70" s="10" t="n">
        <f aca="false">ROUND(H70/4,1)</f>
        <v>5.5</v>
      </c>
      <c r="J70" s="11" t="s">
        <v>47</v>
      </c>
      <c r="K70" s="12" t="s">
        <v>175</v>
      </c>
      <c r="L70" s="13" t="s">
        <v>176</v>
      </c>
    </row>
    <row r="71" customFormat="false" ht="24" hidden="false" customHeight="true" outlineLevel="0" collapsed="false">
      <c r="A71" s="26" t="n">
        <v>12</v>
      </c>
      <c r="B71" s="27" t="s">
        <v>177</v>
      </c>
      <c r="C71" s="28" t="s">
        <v>81</v>
      </c>
      <c r="D71" s="19" t="n">
        <v>5</v>
      </c>
      <c r="E71" s="14" t="n">
        <v>6</v>
      </c>
      <c r="F71" s="14" t="n">
        <v>6</v>
      </c>
      <c r="G71" s="19" t="n">
        <v>4</v>
      </c>
      <c r="H71" s="9" t="n">
        <f aca="false">SUM(D71:G71)</f>
        <v>21</v>
      </c>
      <c r="I71" s="10" t="n">
        <f aca="false">ROUND(H71/4,1)</f>
        <v>5.3</v>
      </c>
      <c r="J71" s="11" t="s">
        <v>60</v>
      </c>
      <c r="K71" s="12" t="s">
        <v>178</v>
      </c>
      <c r="L71" s="13" t="s">
        <v>179</v>
      </c>
    </row>
    <row r="72" customFormat="false" ht="24" hidden="false" customHeight="true" outlineLevel="0" collapsed="false">
      <c r="A72" s="26" t="n">
        <v>13</v>
      </c>
      <c r="B72" s="27" t="s">
        <v>180</v>
      </c>
      <c r="C72" s="28" t="s">
        <v>97</v>
      </c>
      <c r="D72" s="19" t="n">
        <v>4</v>
      </c>
      <c r="E72" s="19" t="n">
        <v>5</v>
      </c>
      <c r="F72" s="19" t="n">
        <v>5</v>
      </c>
      <c r="G72" s="19" t="n">
        <v>5</v>
      </c>
      <c r="H72" s="9" t="n">
        <f aca="false">SUM(D72:G72)</f>
        <v>19</v>
      </c>
      <c r="I72" s="10" t="n">
        <f aca="false">ROUND(H72/4,1)</f>
        <v>4.8</v>
      </c>
      <c r="J72" s="11" t="s">
        <v>60</v>
      </c>
      <c r="K72" s="12" t="s">
        <v>181</v>
      </c>
      <c r="L72" s="13" t="s">
        <v>182</v>
      </c>
    </row>
    <row r="73" customFormat="false" ht="24" hidden="false" customHeight="true" outlineLevel="0" collapsed="false">
      <c r="A73" s="26" t="n">
        <v>14</v>
      </c>
      <c r="B73" s="27" t="s">
        <v>183</v>
      </c>
      <c r="C73" s="28" t="s">
        <v>97</v>
      </c>
      <c r="D73" s="19" t="n">
        <v>4</v>
      </c>
      <c r="E73" s="19" t="n">
        <v>5</v>
      </c>
      <c r="F73" s="19" t="n">
        <v>4</v>
      </c>
      <c r="G73" s="19" t="n">
        <v>5</v>
      </c>
      <c r="H73" s="9" t="n">
        <f aca="false">SUM(D73:G73)</f>
        <v>18</v>
      </c>
      <c r="I73" s="10" t="n">
        <f aca="false">ROUND(H73/4,1)</f>
        <v>4.5</v>
      </c>
      <c r="J73" s="11" t="s">
        <v>60</v>
      </c>
      <c r="K73" s="12" t="s">
        <v>184</v>
      </c>
      <c r="L73" s="13" t="s">
        <v>185</v>
      </c>
    </row>
    <row r="75" customFormat="false" ht="27.75" hidden="false" customHeight="true" outlineLevel="0" collapsed="false">
      <c r="A75" s="29" t="s">
        <v>186</v>
      </c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</row>
    <row r="76" customFormat="false" ht="37.5" hidden="false" customHeight="true" outlineLevel="0" collapsed="false">
      <c r="A76" s="4" t="s">
        <v>3</v>
      </c>
      <c r="B76" s="4" t="s">
        <v>4</v>
      </c>
      <c r="C76" s="4" t="s">
        <v>5</v>
      </c>
      <c r="D76" s="4" t="s">
        <v>6</v>
      </c>
      <c r="E76" s="4" t="s">
        <v>7</v>
      </c>
      <c r="F76" s="4" t="s">
        <v>8</v>
      </c>
      <c r="G76" s="4" t="s">
        <v>9</v>
      </c>
      <c r="H76" s="4" t="s">
        <v>10</v>
      </c>
      <c r="I76" s="4" t="s">
        <v>11</v>
      </c>
      <c r="J76" s="4" t="s">
        <v>12</v>
      </c>
      <c r="K76" s="4" t="s">
        <v>13</v>
      </c>
      <c r="L76" s="4" t="s">
        <v>14</v>
      </c>
    </row>
    <row r="77" customFormat="false" ht="24" hidden="false" customHeight="true" outlineLevel="0" collapsed="false">
      <c r="A77" s="30" t="n">
        <v>1</v>
      </c>
      <c r="B77" s="31" t="s">
        <v>187</v>
      </c>
      <c r="C77" s="32" t="s">
        <v>16</v>
      </c>
      <c r="D77" s="8" t="n">
        <v>9</v>
      </c>
      <c r="E77" s="8" t="n">
        <v>8</v>
      </c>
      <c r="F77" s="8" t="n">
        <v>9</v>
      </c>
      <c r="G77" s="8" t="n">
        <v>8</v>
      </c>
      <c r="H77" s="9" t="n">
        <f aca="false">SUM(D77:G77)</f>
        <v>34</v>
      </c>
      <c r="I77" s="10" t="n">
        <f aca="false">ROUND(H77/4,1)</f>
        <v>8.5</v>
      </c>
      <c r="J77" s="11" t="s">
        <v>17</v>
      </c>
      <c r="K77" s="12" t="s">
        <v>188</v>
      </c>
      <c r="L77" s="13" t="s">
        <v>189</v>
      </c>
    </row>
    <row r="78" customFormat="false" ht="24" hidden="false" customHeight="true" outlineLevel="0" collapsed="false">
      <c r="A78" s="30" t="n">
        <v>2</v>
      </c>
      <c r="B78" s="31" t="s">
        <v>190</v>
      </c>
      <c r="C78" s="32" t="s">
        <v>16</v>
      </c>
      <c r="D78" s="8" t="n">
        <v>9</v>
      </c>
      <c r="E78" s="8" t="n">
        <v>8</v>
      </c>
      <c r="F78" s="8" t="n">
        <v>9</v>
      </c>
      <c r="G78" s="8" t="n">
        <v>8</v>
      </c>
      <c r="H78" s="9" t="n">
        <f aca="false">SUM(D78:G78)</f>
        <v>34</v>
      </c>
      <c r="I78" s="10" t="n">
        <f aca="false">ROUND(H78/4,1)</f>
        <v>8.5</v>
      </c>
      <c r="J78" s="11" t="s">
        <v>17</v>
      </c>
      <c r="K78" s="12" t="s">
        <v>191</v>
      </c>
      <c r="L78" s="13" t="s">
        <v>192</v>
      </c>
    </row>
    <row r="79" customFormat="false" ht="24" hidden="false" customHeight="true" outlineLevel="0" collapsed="false">
      <c r="A79" s="30" t="n">
        <v>3</v>
      </c>
      <c r="B79" s="31" t="s">
        <v>193</v>
      </c>
      <c r="C79" s="32" t="s">
        <v>16</v>
      </c>
      <c r="D79" s="8" t="n">
        <v>8</v>
      </c>
      <c r="E79" s="8" t="n">
        <v>8</v>
      </c>
      <c r="F79" s="8" t="n">
        <v>8</v>
      </c>
      <c r="G79" s="8" t="n">
        <v>8</v>
      </c>
      <c r="H79" s="9" t="n">
        <f aca="false">SUM(D79:G79)</f>
        <v>32</v>
      </c>
      <c r="I79" s="10" t="n">
        <f aca="false">ROUND(H79/4,1)</f>
        <v>8</v>
      </c>
      <c r="J79" s="11" t="s">
        <v>27</v>
      </c>
      <c r="K79" s="12" t="s">
        <v>194</v>
      </c>
      <c r="L79" s="13" t="s">
        <v>195</v>
      </c>
    </row>
    <row r="80" customFormat="false" ht="24" hidden="false" customHeight="true" outlineLevel="0" collapsed="false">
      <c r="A80" s="30" t="n">
        <v>4</v>
      </c>
      <c r="B80" s="31" t="s">
        <v>196</v>
      </c>
      <c r="C80" s="32" t="s">
        <v>77</v>
      </c>
      <c r="D80" s="8" t="n">
        <v>9</v>
      </c>
      <c r="E80" s="8" t="n">
        <v>8</v>
      </c>
      <c r="F80" s="8" t="n">
        <v>8</v>
      </c>
      <c r="G80" s="14" t="n">
        <v>7</v>
      </c>
      <c r="H80" s="9" t="n">
        <f aca="false">SUM(D80:G80)</f>
        <v>32</v>
      </c>
      <c r="I80" s="10" t="n">
        <f aca="false">ROUND(H80/4,1)</f>
        <v>8</v>
      </c>
      <c r="J80" s="11" t="s">
        <v>27</v>
      </c>
      <c r="K80" s="12" t="s">
        <v>197</v>
      </c>
      <c r="L80" s="13" t="s">
        <v>198</v>
      </c>
    </row>
    <row r="81" customFormat="false" ht="24" hidden="false" customHeight="true" outlineLevel="0" collapsed="false">
      <c r="A81" s="30" t="n">
        <v>5</v>
      </c>
      <c r="B81" s="31" t="s">
        <v>199</v>
      </c>
      <c r="C81" s="32" t="s">
        <v>81</v>
      </c>
      <c r="D81" s="8" t="n">
        <v>8</v>
      </c>
      <c r="E81" s="8" t="n">
        <v>8</v>
      </c>
      <c r="F81" s="8" t="n">
        <v>8</v>
      </c>
      <c r="G81" s="14" t="n">
        <v>7</v>
      </c>
      <c r="H81" s="9" t="n">
        <f aca="false">SUM(D81:G81)</f>
        <v>31</v>
      </c>
      <c r="I81" s="10" t="n">
        <f aca="false">ROUND(H81/4,1)</f>
        <v>7.8</v>
      </c>
      <c r="J81" s="11" t="s">
        <v>27</v>
      </c>
      <c r="K81" s="12" t="s">
        <v>200</v>
      </c>
      <c r="L81" s="13" t="s">
        <v>201</v>
      </c>
    </row>
    <row r="82" customFormat="false" ht="24" hidden="false" customHeight="true" outlineLevel="0" collapsed="false">
      <c r="A82" s="30" t="n">
        <v>6</v>
      </c>
      <c r="B82" s="31" t="s">
        <v>202</v>
      </c>
      <c r="C82" s="32" t="s">
        <v>81</v>
      </c>
      <c r="D82" s="8" t="n">
        <v>8</v>
      </c>
      <c r="E82" s="8" t="n">
        <v>8</v>
      </c>
      <c r="F82" s="8" t="n">
        <v>8</v>
      </c>
      <c r="G82" s="14" t="n">
        <v>7</v>
      </c>
      <c r="H82" s="9" t="n">
        <f aca="false">SUM(D82:G82)</f>
        <v>31</v>
      </c>
      <c r="I82" s="10" t="n">
        <f aca="false">ROUND(H82/4,1)</f>
        <v>7.8</v>
      </c>
      <c r="J82" s="11" t="s">
        <v>27</v>
      </c>
      <c r="K82" s="12" t="s">
        <v>203</v>
      </c>
      <c r="L82" s="13" t="s">
        <v>204</v>
      </c>
    </row>
    <row r="83" customFormat="false" ht="24" hidden="false" customHeight="true" outlineLevel="0" collapsed="false">
      <c r="A83" s="30" t="n">
        <v>7</v>
      </c>
      <c r="B83" s="31" t="s">
        <v>205</v>
      </c>
      <c r="C83" s="32" t="s">
        <v>77</v>
      </c>
      <c r="D83" s="8" t="n">
        <v>8</v>
      </c>
      <c r="E83" s="8" t="n">
        <v>8</v>
      </c>
      <c r="F83" s="8" t="n">
        <v>8</v>
      </c>
      <c r="G83" s="14" t="n">
        <v>7</v>
      </c>
      <c r="H83" s="9" t="n">
        <f aca="false">SUM(D83:G83)</f>
        <v>31</v>
      </c>
      <c r="I83" s="10" t="n">
        <f aca="false">ROUND(H83/4,1)</f>
        <v>7.8</v>
      </c>
      <c r="J83" s="11" t="s">
        <v>27</v>
      </c>
      <c r="K83" s="12" t="s">
        <v>206</v>
      </c>
      <c r="L83" s="13" t="s">
        <v>207</v>
      </c>
    </row>
    <row r="84" customFormat="false" ht="24" hidden="false" customHeight="true" outlineLevel="0" collapsed="false">
      <c r="A84" s="30" t="n">
        <v>8</v>
      </c>
      <c r="B84" s="31" t="s">
        <v>208</v>
      </c>
      <c r="C84" s="32" t="s">
        <v>81</v>
      </c>
      <c r="D84" s="8" t="n">
        <v>8</v>
      </c>
      <c r="E84" s="14" t="n">
        <v>7</v>
      </c>
      <c r="F84" s="14" t="n">
        <v>7</v>
      </c>
      <c r="G84" s="14" t="n">
        <v>7</v>
      </c>
      <c r="H84" s="9" t="n">
        <f aca="false">SUM(D84:G84)</f>
        <v>29</v>
      </c>
      <c r="I84" s="10" t="n">
        <f aca="false">ROUND(H84/4,1)</f>
        <v>7.3</v>
      </c>
      <c r="J84" s="11" t="s">
        <v>27</v>
      </c>
      <c r="K84" s="12" t="s">
        <v>209</v>
      </c>
      <c r="L84" s="13" t="s">
        <v>210</v>
      </c>
    </row>
    <row r="85" customFormat="false" ht="24" hidden="false" customHeight="true" outlineLevel="0" collapsed="false">
      <c r="A85" s="30" t="n">
        <v>9</v>
      </c>
      <c r="B85" s="31" t="s">
        <v>211</v>
      </c>
      <c r="C85" s="32" t="s">
        <v>77</v>
      </c>
      <c r="D85" s="14" t="n">
        <v>7</v>
      </c>
      <c r="E85" s="14" t="n">
        <v>7</v>
      </c>
      <c r="F85" s="14" t="n">
        <v>7</v>
      </c>
      <c r="G85" s="14" t="n">
        <v>7</v>
      </c>
      <c r="H85" s="9" t="n">
        <f aca="false">SUM(D85:G85)</f>
        <v>28</v>
      </c>
      <c r="I85" s="10" t="n">
        <f aca="false">ROUND(H85/4,1)</f>
        <v>7</v>
      </c>
      <c r="J85" s="11" t="s">
        <v>27</v>
      </c>
      <c r="K85" s="12" t="s">
        <v>135</v>
      </c>
      <c r="L85" s="13" t="s">
        <v>212</v>
      </c>
    </row>
    <row r="86" customFormat="false" ht="24" hidden="false" customHeight="true" outlineLevel="0" collapsed="false">
      <c r="A86" s="30" t="n">
        <v>10</v>
      </c>
      <c r="B86" s="31" t="s">
        <v>213</v>
      </c>
      <c r="C86" s="32" t="s">
        <v>16</v>
      </c>
      <c r="D86" s="14" t="n">
        <v>7</v>
      </c>
      <c r="E86" s="14" t="n">
        <v>7</v>
      </c>
      <c r="F86" s="14" t="n">
        <v>7</v>
      </c>
      <c r="G86" s="14" t="n">
        <v>7</v>
      </c>
      <c r="H86" s="9" t="n">
        <f aca="false">SUM(D86:G86)</f>
        <v>28</v>
      </c>
      <c r="I86" s="10" t="n">
        <f aca="false">ROUND(H86/4,1)</f>
        <v>7</v>
      </c>
      <c r="J86" s="11" t="s">
        <v>27</v>
      </c>
      <c r="K86" s="12" t="s">
        <v>214</v>
      </c>
      <c r="L86" s="13" t="s">
        <v>215</v>
      </c>
    </row>
    <row r="87" customFormat="false" ht="24" hidden="false" customHeight="true" outlineLevel="0" collapsed="false">
      <c r="A87" s="30" t="n">
        <v>11</v>
      </c>
      <c r="B87" s="31" t="s">
        <v>216</v>
      </c>
      <c r="C87" s="32" t="s">
        <v>16</v>
      </c>
      <c r="D87" s="14" t="n">
        <v>6</v>
      </c>
      <c r="E87" s="14" t="n">
        <v>7</v>
      </c>
      <c r="F87" s="14" t="n">
        <v>7</v>
      </c>
      <c r="G87" s="14" t="n">
        <v>6</v>
      </c>
      <c r="H87" s="9" t="n">
        <f aca="false">SUM(D87:G87)</f>
        <v>26</v>
      </c>
      <c r="I87" s="10" t="n">
        <f aca="false">ROUND(H87/4,1)</f>
        <v>6.5</v>
      </c>
      <c r="J87" s="11" t="s">
        <v>47</v>
      </c>
      <c r="K87" s="12" t="s">
        <v>217</v>
      </c>
      <c r="L87" s="13" t="s">
        <v>218</v>
      </c>
    </row>
    <row r="88" customFormat="false" ht="24" hidden="false" customHeight="true" outlineLevel="0" collapsed="false">
      <c r="A88" s="30" t="n">
        <v>12</v>
      </c>
      <c r="B88" s="31" t="s">
        <v>219</v>
      </c>
      <c r="C88" s="32" t="s">
        <v>97</v>
      </c>
      <c r="D88" s="14" t="n">
        <v>6</v>
      </c>
      <c r="E88" s="14" t="n">
        <v>7</v>
      </c>
      <c r="F88" s="14" t="n">
        <v>6</v>
      </c>
      <c r="G88" s="14" t="n">
        <v>7</v>
      </c>
      <c r="H88" s="9" t="n">
        <f aca="false">SUM(D88:G88)</f>
        <v>26</v>
      </c>
      <c r="I88" s="10" t="n">
        <f aca="false">ROUND(H88/4,1)</f>
        <v>6.5</v>
      </c>
      <c r="J88" s="11" t="s">
        <v>47</v>
      </c>
      <c r="K88" s="12" t="s">
        <v>220</v>
      </c>
      <c r="L88" s="13" t="s">
        <v>221</v>
      </c>
    </row>
    <row r="89" customFormat="false" ht="24" hidden="false" customHeight="true" outlineLevel="0" collapsed="false">
      <c r="A89" s="30" t="n">
        <v>13</v>
      </c>
      <c r="B89" s="31" t="s">
        <v>222</v>
      </c>
      <c r="C89" s="32" t="s">
        <v>97</v>
      </c>
      <c r="D89" s="14" t="n">
        <v>6</v>
      </c>
      <c r="E89" s="14" t="n">
        <v>6</v>
      </c>
      <c r="F89" s="14" t="n">
        <v>6</v>
      </c>
      <c r="G89" s="14" t="n">
        <v>7</v>
      </c>
      <c r="H89" s="9" t="n">
        <f aca="false">SUM(D89:G89)</f>
        <v>25</v>
      </c>
      <c r="I89" s="10" t="n">
        <f aca="false">ROUND(H89/4,1)</f>
        <v>6.3</v>
      </c>
      <c r="J89" s="11" t="s">
        <v>47</v>
      </c>
      <c r="K89" s="12" t="s">
        <v>223</v>
      </c>
      <c r="L89" s="13" t="s">
        <v>224</v>
      </c>
    </row>
    <row r="90" customFormat="false" ht="24" hidden="false" customHeight="true" outlineLevel="0" collapsed="false">
      <c r="A90" s="30" t="n">
        <v>14</v>
      </c>
      <c r="B90" s="31" t="s">
        <v>225</v>
      </c>
      <c r="C90" s="32" t="s">
        <v>97</v>
      </c>
      <c r="D90" s="19" t="n">
        <v>5</v>
      </c>
      <c r="E90" s="14" t="n">
        <v>6</v>
      </c>
      <c r="F90" s="19" t="n">
        <v>5</v>
      </c>
      <c r="G90" s="14" t="n">
        <v>6</v>
      </c>
      <c r="H90" s="9" t="n">
        <f aca="false">SUM(D90:G90)</f>
        <v>22</v>
      </c>
      <c r="I90" s="10" t="n">
        <f aca="false">ROUND(H90/4,1)</f>
        <v>5.5</v>
      </c>
      <c r="J90" s="11" t="s">
        <v>47</v>
      </c>
      <c r="K90" s="12" t="s">
        <v>226</v>
      </c>
      <c r="L90" s="13" t="s">
        <v>227</v>
      </c>
    </row>
    <row r="92" customFormat="false" ht="27.75" hidden="false" customHeight="true" outlineLevel="0" collapsed="false">
      <c r="A92" s="33" t="s">
        <v>228</v>
      </c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</row>
    <row r="93" customFormat="false" ht="37.5" hidden="false" customHeight="true" outlineLevel="0" collapsed="false">
      <c r="A93" s="4" t="s">
        <v>3</v>
      </c>
      <c r="B93" s="4" t="s">
        <v>4</v>
      </c>
      <c r="C93" s="4" t="s">
        <v>5</v>
      </c>
      <c r="D93" s="4" t="s">
        <v>6</v>
      </c>
      <c r="E93" s="4" t="s">
        <v>7</v>
      </c>
      <c r="F93" s="4" t="s">
        <v>8</v>
      </c>
      <c r="G93" s="4" t="s">
        <v>9</v>
      </c>
      <c r="H93" s="4" t="s">
        <v>10</v>
      </c>
      <c r="I93" s="4" t="s">
        <v>11</v>
      </c>
      <c r="J93" s="4" t="s">
        <v>12</v>
      </c>
      <c r="K93" s="4" t="s">
        <v>13</v>
      </c>
      <c r="L93" s="4" t="s">
        <v>14</v>
      </c>
    </row>
    <row r="94" customFormat="false" ht="24" hidden="false" customHeight="true" outlineLevel="0" collapsed="false">
      <c r="A94" s="34" t="n">
        <v>1</v>
      </c>
      <c r="B94" s="35" t="s">
        <v>229</v>
      </c>
      <c r="C94" s="36" t="s">
        <v>16</v>
      </c>
      <c r="D94" s="8" t="n">
        <v>9</v>
      </c>
      <c r="E94" s="8" t="n">
        <v>9</v>
      </c>
      <c r="F94" s="8" t="n">
        <v>9</v>
      </c>
      <c r="G94" s="14" t="n">
        <v>7</v>
      </c>
      <c r="H94" s="9" t="n">
        <f aca="false">SUM(D94:G94)</f>
        <v>34</v>
      </c>
      <c r="I94" s="10" t="n">
        <f aca="false">ROUND(H94/4,1)</f>
        <v>8.5</v>
      </c>
      <c r="J94" s="11" t="s">
        <v>17</v>
      </c>
      <c r="K94" s="12" t="s">
        <v>230</v>
      </c>
      <c r="L94" s="13" t="s">
        <v>231</v>
      </c>
    </row>
    <row r="95" customFormat="false" ht="24" hidden="false" customHeight="true" outlineLevel="0" collapsed="false">
      <c r="A95" s="34" t="n">
        <v>2</v>
      </c>
      <c r="B95" s="35" t="s">
        <v>232</v>
      </c>
      <c r="C95" s="36" t="s">
        <v>16</v>
      </c>
      <c r="D95" s="8" t="n">
        <v>9</v>
      </c>
      <c r="E95" s="8" t="n">
        <v>8</v>
      </c>
      <c r="F95" s="8" t="n">
        <v>9</v>
      </c>
      <c r="G95" s="14" t="n">
        <v>7</v>
      </c>
      <c r="H95" s="9" t="n">
        <f aca="false">SUM(D95:G95)</f>
        <v>33</v>
      </c>
      <c r="I95" s="10" t="n">
        <f aca="false">ROUND(H95/4,1)</f>
        <v>8.3</v>
      </c>
      <c r="J95" s="11" t="s">
        <v>27</v>
      </c>
      <c r="K95" s="12" t="s">
        <v>233</v>
      </c>
      <c r="L95" s="13" t="s">
        <v>234</v>
      </c>
    </row>
    <row r="96" customFormat="false" ht="24" hidden="false" customHeight="true" outlineLevel="0" collapsed="false">
      <c r="A96" s="34" t="n">
        <v>3</v>
      </c>
      <c r="B96" s="35" t="s">
        <v>235</v>
      </c>
      <c r="C96" s="36" t="s">
        <v>16</v>
      </c>
      <c r="D96" s="14" t="n">
        <v>7</v>
      </c>
      <c r="E96" s="14" t="n">
        <v>7</v>
      </c>
      <c r="F96" s="14" t="n">
        <v>7</v>
      </c>
      <c r="G96" s="14" t="n">
        <v>6</v>
      </c>
      <c r="H96" s="9" t="n">
        <f aca="false">SUM(D96:G96)</f>
        <v>27</v>
      </c>
      <c r="I96" s="10" t="n">
        <f aca="false">ROUND(H96/4,1)</f>
        <v>6.8</v>
      </c>
      <c r="J96" s="11" t="s">
        <v>47</v>
      </c>
      <c r="K96" s="12" t="s">
        <v>236</v>
      </c>
      <c r="L96" s="13" t="s">
        <v>237</v>
      </c>
    </row>
    <row r="97" customFormat="false" ht="24" hidden="false" customHeight="true" outlineLevel="0" collapsed="false">
      <c r="A97" s="34" t="n">
        <v>4</v>
      </c>
      <c r="B97" s="35" t="s">
        <v>238</v>
      </c>
      <c r="C97" s="36" t="s">
        <v>16</v>
      </c>
      <c r="D97" s="14" t="n">
        <v>7</v>
      </c>
      <c r="E97" s="14" t="n">
        <v>7</v>
      </c>
      <c r="F97" s="14" t="n">
        <v>7</v>
      </c>
      <c r="G97" s="14" t="n">
        <v>6</v>
      </c>
      <c r="H97" s="9" t="n">
        <f aca="false">SUM(D97:G97)</f>
        <v>27</v>
      </c>
      <c r="I97" s="10" t="n">
        <f aca="false">ROUND(H97/4,1)</f>
        <v>6.8</v>
      </c>
      <c r="J97" s="11" t="s">
        <v>47</v>
      </c>
      <c r="K97" s="12" t="s">
        <v>239</v>
      </c>
      <c r="L97" s="13" t="s">
        <v>240</v>
      </c>
    </row>
    <row r="98" customFormat="false" ht="24" hidden="false" customHeight="true" outlineLevel="0" collapsed="false">
      <c r="A98" s="34" t="n">
        <v>5</v>
      </c>
      <c r="B98" s="35" t="s">
        <v>241</v>
      </c>
      <c r="C98" s="36" t="s">
        <v>81</v>
      </c>
      <c r="D98" s="14" t="n">
        <v>7</v>
      </c>
      <c r="E98" s="14" t="n">
        <v>7</v>
      </c>
      <c r="F98" s="14" t="n">
        <v>7</v>
      </c>
      <c r="G98" s="14" t="n">
        <v>6</v>
      </c>
      <c r="H98" s="9" t="n">
        <f aca="false">SUM(D98:G98)</f>
        <v>27</v>
      </c>
      <c r="I98" s="10" t="n">
        <f aca="false">ROUND(H98/4,1)</f>
        <v>6.8</v>
      </c>
      <c r="J98" s="11" t="s">
        <v>47</v>
      </c>
      <c r="K98" s="12" t="s">
        <v>242</v>
      </c>
      <c r="L98" s="13" t="s">
        <v>243</v>
      </c>
    </row>
    <row r="99" customFormat="false" ht="24" hidden="false" customHeight="true" outlineLevel="0" collapsed="false">
      <c r="A99" s="34" t="n">
        <v>6</v>
      </c>
      <c r="B99" s="35" t="s">
        <v>244</v>
      </c>
      <c r="C99" s="36" t="s">
        <v>81</v>
      </c>
      <c r="D99" s="14" t="n">
        <v>6</v>
      </c>
      <c r="E99" s="14" t="n">
        <v>7</v>
      </c>
      <c r="F99" s="14" t="n">
        <v>7</v>
      </c>
      <c r="G99" s="14" t="n">
        <v>6</v>
      </c>
      <c r="H99" s="9" t="n">
        <f aca="false">SUM(D99:G99)</f>
        <v>26</v>
      </c>
      <c r="I99" s="10" t="n">
        <f aca="false">ROUND(H99/4,1)</f>
        <v>6.5</v>
      </c>
      <c r="J99" s="11" t="s">
        <v>47</v>
      </c>
      <c r="K99" s="12" t="s">
        <v>245</v>
      </c>
      <c r="L99" s="13" t="s">
        <v>246</v>
      </c>
    </row>
    <row r="100" customFormat="false" ht="24" hidden="false" customHeight="true" outlineLevel="0" collapsed="false">
      <c r="A100" s="34" t="n">
        <v>7</v>
      </c>
      <c r="B100" s="35" t="s">
        <v>247</v>
      </c>
      <c r="C100" s="36" t="s">
        <v>16</v>
      </c>
      <c r="D100" s="14" t="n">
        <v>6</v>
      </c>
      <c r="E100" s="14" t="n">
        <v>7</v>
      </c>
      <c r="F100" s="14" t="n">
        <v>6</v>
      </c>
      <c r="G100" s="14" t="n">
        <v>6</v>
      </c>
      <c r="H100" s="9" t="n">
        <f aca="false">SUM(D100:G100)</f>
        <v>25</v>
      </c>
      <c r="I100" s="10" t="n">
        <f aca="false">ROUND(H100/4,1)</f>
        <v>6.3</v>
      </c>
      <c r="J100" s="11" t="s">
        <v>47</v>
      </c>
      <c r="K100" s="12" t="s">
        <v>248</v>
      </c>
      <c r="L100" s="13" t="s">
        <v>249</v>
      </c>
    </row>
    <row r="101" customFormat="false" ht="24" hidden="false" customHeight="true" outlineLevel="0" collapsed="false">
      <c r="A101" s="34" t="n">
        <v>8</v>
      </c>
      <c r="B101" s="35" t="s">
        <v>250</v>
      </c>
      <c r="C101" s="36" t="s">
        <v>77</v>
      </c>
      <c r="D101" s="14" t="n">
        <v>6</v>
      </c>
      <c r="E101" s="14" t="n">
        <v>7</v>
      </c>
      <c r="F101" s="14" t="n">
        <v>6</v>
      </c>
      <c r="G101" s="14" t="n">
        <v>6</v>
      </c>
      <c r="H101" s="9" t="n">
        <f aca="false">SUM(D101:G101)</f>
        <v>25</v>
      </c>
      <c r="I101" s="10" t="n">
        <f aca="false">ROUND(H101/4,1)</f>
        <v>6.3</v>
      </c>
      <c r="J101" s="11" t="s">
        <v>47</v>
      </c>
      <c r="K101" s="12" t="s">
        <v>251</v>
      </c>
      <c r="L101" s="13" t="s">
        <v>252</v>
      </c>
    </row>
    <row r="102" customFormat="false" ht="24" hidden="false" customHeight="true" outlineLevel="0" collapsed="false">
      <c r="A102" s="34" t="n">
        <v>9</v>
      </c>
      <c r="B102" s="35" t="s">
        <v>253</v>
      </c>
      <c r="C102" s="36" t="s">
        <v>97</v>
      </c>
      <c r="D102" s="19" t="n">
        <v>5</v>
      </c>
      <c r="E102" s="14" t="n">
        <v>6</v>
      </c>
      <c r="F102" s="14" t="n">
        <v>6</v>
      </c>
      <c r="G102" s="14" t="n">
        <v>6</v>
      </c>
      <c r="H102" s="9" t="n">
        <f aca="false">SUM(D102:G102)</f>
        <v>23</v>
      </c>
      <c r="I102" s="10" t="n">
        <f aca="false">ROUND(H102/4,1)</f>
        <v>5.8</v>
      </c>
      <c r="J102" s="11" t="s">
        <v>47</v>
      </c>
      <c r="K102" s="12" t="s">
        <v>254</v>
      </c>
      <c r="L102" s="13" t="s">
        <v>255</v>
      </c>
    </row>
    <row r="103" customFormat="false" ht="24" hidden="false" customHeight="true" outlineLevel="0" collapsed="false">
      <c r="A103" s="34" t="n">
        <v>10</v>
      </c>
      <c r="B103" s="35" t="s">
        <v>256</v>
      </c>
      <c r="C103" s="36" t="s">
        <v>81</v>
      </c>
      <c r="D103" s="19" t="n">
        <v>5</v>
      </c>
      <c r="E103" s="14" t="n">
        <v>6</v>
      </c>
      <c r="F103" s="14" t="n">
        <v>6</v>
      </c>
      <c r="G103" s="19" t="n">
        <v>5</v>
      </c>
      <c r="H103" s="9" t="n">
        <f aca="false">SUM(D103:G103)</f>
        <v>22</v>
      </c>
      <c r="I103" s="10" t="n">
        <f aca="false">ROUND(H103/4,1)</f>
        <v>5.5</v>
      </c>
      <c r="J103" s="11" t="s">
        <v>47</v>
      </c>
      <c r="K103" s="12" t="s">
        <v>257</v>
      </c>
      <c r="L103" s="13" t="s">
        <v>258</v>
      </c>
    </row>
    <row r="104" customFormat="false" ht="24" hidden="false" customHeight="true" outlineLevel="0" collapsed="false">
      <c r="A104" s="34" t="n">
        <v>11</v>
      </c>
      <c r="B104" s="35" t="s">
        <v>259</v>
      </c>
      <c r="C104" s="36" t="s">
        <v>77</v>
      </c>
      <c r="D104" s="19" t="n">
        <v>5</v>
      </c>
      <c r="E104" s="14" t="n">
        <v>6</v>
      </c>
      <c r="F104" s="14" t="n">
        <v>6</v>
      </c>
      <c r="G104" s="19" t="n">
        <v>5</v>
      </c>
      <c r="H104" s="9" t="n">
        <f aca="false">SUM(D104:G104)</f>
        <v>22</v>
      </c>
      <c r="I104" s="10" t="n">
        <f aca="false">ROUND(H104/4,1)</f>
        <v>5.5</v>
      </c>
      <c r="J104" s="11" t="s">
        <v>47</v>
      </c>
      <c r="K104" s="12" t="s">
        <v>260</v>
      </c>
      <c r="L104" s="13" t="s">
        <v>261</v>
      </c>
    </row>
    <row r="105" customFormat="false" ht="24" hidden="false" customHeight="true" outlineLevel="0" collapsed="false">
      <c r="A105" s="34" t="n">
        <v>12</v>
      </c>
      <c r="B105" s="35" t="s">
        <v>262</v>
      </c>
      <c r="C105" s="36" t="s">
        <v>97</v>
      </c>
      <c r="D105" s="19" t="n">
        <v>5</v>
      </c>
      <c r="E105" s="14" t="n">
        <v>6</v>
      </c>
      <c r="F105" s="19" t="n">
        <v>5</v>
      </c>
      <c r="G105" s="19" t="n">
        <v>5</v>
      </c>
      <c r="H105" s="9" t="n">
        <f aca="false">SUM(D105:G105)</f>
        <v>21</v>
      </c>
      <c r="I105" s="10" t="n">
        <f aca="false">ROUND(H105/4,1)</f>
        <v>5.3</v>
      </c>
      <c r="J105" s="11" t="s">
        <v>60</v>
      </c>
      <c r="K105" s="12" t="s">
        <v>263</v>
      </c>
      <c r="L105" s="13" t="s">
        <v>264</v>
      </c>
    </row>
    <row r="106" customFormat="false" ht="24" hidden="false" customHeight="true" outlineLevel="0" collapsed="false">
      <c r="A106" s="34" t="n">
        <v>13</v>
      </c>
      <c r="B106" s="35" t="s">
        <v>265</v>
      </c>
      <c r="C106" s="36" t="s">
        <v>77</v>
      </c>
      <c r="D106" s="19" t="n">
        <v>5</v>
      </c>
      <c r="E106" s="14" t="n">
        <v>6</v>
      </c>
      <c r="F106" s="19" t="n">
        <v>5</v>
      </c>
      <c r="G106" s="19" t="n">
        <v>5</v>
      </c>
      <c r="H106" s="9" t="n">
        <f aca="false">SUM(D106:G106)</f>
        <v>21</v>
      </c>
      <c r="I106" s="10" t="n">
        <f aca="false">ROUND(H106/4,1)</f>
        <v>5.3</v>
      </c>
      <c r="J106" s="11" t="s">
        <v>60</v>
      </c>
      <c r="K106" s="12" t="s">
        <v>266</v>
      </c>
      <c r="L106" s="13" t="s">
        <v>267</v>
      </c>
    </row>
    <row r="107" customFormat="false" ht="24" hidden="false" customHeight="true" outlineLevel="0" collapsed="false">
      <c r="A107" s="34" t="n">
        <v>14</v>
      </c>
      <c r="B107" s="35" t="s">
        <v>268</v>
      </c>
      <c r="C107" s="36" t="s">
        <v>97</v>
      </c>
      <c r="D107" s="19" t="n">
        <v>4</v>
      </c>
      <c r="E107" s="19" t="n">
        <v>5</v>
      </c>
      <c r="F107" s="19" t="n">
        <v>5</v>
      </c>
      <c r="G107" s="19" t="n">
        <v>4</v>
      </c>
      <c r="H107" s="9" t="n">
        <f aca="false">SUM(D107:G107)</f>
        <v>18</v>
      </c>
      <c r="I107" s="10" t="n">
        <f aca="false">ROUND(H107/4,1)</f>
        <v>4.5</v>
      </c>
      <c r="J107" s="11" t="s">
        <v>60</v>
      </c>
      <c r="K107" s="12" t="s">
        <v>269</v>
      </c>
      <c r="L107" s="13" t="s">
        <v>270</v>
      </c>
    </row>
    <row r="109" customFormat="false" ht="27.75" hidden="false" customHeight="true" outlineLevel="0" collapsed="false">
      <c r="A109" s="37" t="s">
        <v>271</v>
      </c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</row>
    <row r="110" customFormat="false" ht="37.5" hidden="false" customHeight="true" outlineLevel="0" collapsed="false">
      <c r="A110" s="4" t="s">
        <v>3</v>
      </c>
      <c r="B110" s="4" t="s">
        <v>4</v>
      </c>
      <c r="C110" s="4" t="s">
        <v>5</v>
      </c>
      <c r="D110" s="4" t="s">
        <v>6</v>
      </c>
      <c r="E110" s="4" t="s">
        <v>7</v>
      </c>
      <c r="F110" s="4" t="s">
        <v>8</v>
      </c>
      <c r="G110" s="4" t="s">
        <v>9</v>
      </c>
      <c r="H110" s="4" t="s">
        <v>10</v>
      </c>
      <c r="I110" s="4" t="s">
        <v>11</v>
      </c>
      <c r="J110" s="4" t="s">
        <v>12</v>
      </c>
      <c r="K110" s="4" t="s">
        <v>13</v>
      </c>
      <c r="L110" s="4" t="s">
        <v>14</v>
      </c>
    </row>
    <row r="111" customFormat="false" ht="24" hidden="false" customHeight="true" outlineLevel="0" collapsed="false">
      <c r="A111" s="38" t="n">
        <v>1</v>
      </c>
      <c r="B111" s="39" t="s">
        <v>272</v>
      </c>
      <c r="C111" s="40" t="s">
        <v>16</v>
      </c>
      <c r="D111" s="8" t="n">
        <v>8</v>
      </c>
      <c r="E111" s="8" t="n">
        <v>8</v>
      </c>
      <c r="F111" s="8" t="n">
        <v>8</v>
      </c>
      <c r="G111" s="14" t="n">
        <v>6</v>
      </c>
      <c r="H111" s="9" t="n">
        <f aca="false">SUM(D111:G111)</f>
        <v>30</v>
      </c>
      <c r="I111" s="10" t="n">
        <f aca="false">ROUND(H111/4,1)</f>
        <v>7.5</v>
      </c>
      <c r="J111" s="11" t="s">
        <v>27</v>
      </c>
      <c r="K111" s="12" t="s">
        <v>273</v>
      </c>
      <c r="L111" s="13" t="s">
        <v>274</v>
      </c>
    </row>
    <row r="112" customFormat="false" ht="24" hidden="false" customHeight="true" outlineLevel="0" collapsed="false">
      <c r="A112" s="38" t="n">
        <v>2</v>
      </c>
      <c r="B112" s="39" t="s">
        <v>275</v>
      </c>
      <c r="C112" s="40" t="s">
        <v>16</v>
      </c>
      <c r="D112" s="14" t="n">
        <v>7</v>
      </c>
      <c r="E112" s="8" t="n">
        <v>8</v>
      </c>
      <c r="F112" s="14" t="n">
        <v>7</v>
      </c>
      <c r="G112" s="19" t="n">
        <v>5</v>
      </c>
      <c r="H112" s="9" t="n">
        <f aca="false">SUM(D112:G112)</f>
        <v>27</v>
      </c>
      <c r="I112" s="10" t="n">
        <f aca="false">ROUND(H112/4,1)</f>
        <v>6.8</v>
      </c>
      <c r="J112" s="11" t="s">
        <v>47</v>
      </c>
      <c r="K112" s="12" t="s">
        <v>276</v>
      </c>
      <c r="L112" s="13" t="s">
        <v>277</v>
      </c>
    </row>
    <row r="113" customFormat="false" ht="24" hidden="false" customHeight="true" outlineLevel="0" collapsed="false">
      <c r="A113" s="38" t="n">
        <v>3</v>
      </c>
      <c r="B113" s="39" t="s">
        <v>278</v>
      </c>
      <c r="C113" s="40" t="s">
        <v>77</v>
      </c>
      <c r="D113" s="14" t="n">
        <v>7</v>
      </c>
      <c r="E113" s="14" t="n">
        <v>7</v>
      </c>
      <c r="F113" s="14" t="n">
        <v>7</v>
      </c>
      <c r="G113" s="19" t="n">
        <v>5</v>
      </c>
      <c r="H113" s="9" t="n">
        <f aca="false">SUM(D113:G113)</f>
        <v>26</v>
      </c>
      <c r="I113" s="10" t="n">
        <f aca="false">ROUND(H113/4,1)</f>
        <v>6.5</v>
      </c>
      <c r="J113" s="11" t="s">
        <v>47</v>
      </c>
      <c r="K113" s="12" t="s">
        <v>273</v>
      </c>
      <c r="L113" s="13" t="s">
        <v>279</v>
      </c>
    </row>
    <row r="114" customFormat="false" ht="24" hidden="false" customHeight="true" outlineLevel="0" collapsed="false">
      <c r="A114" s="38" t="n">
        <v>4</v>
      </c>
      <c r="B114" s="39" t="s">
        <v>280</v>
      </c>
      <c r="C114" s="40" t="s">
        <v>16</v>
      </c>
      <c r="D114" s="14" t="n">
        <v>6</v>
      </c>
      <c r="E114" s="14" t="n">
        <v>7</v>
      </c>
      <c r="F114" s="14" t="n">
        <v>6</v>
      </c>
      <c r="G114" s="19" t="n">
        <v>5</v>
      </c>
      <c r="H114" s="9" t="n">
        <f aca="false">SUM(D114:G114)</f>
        <v>24</v>
      </c>
      <c r="I114" s="10" t="n">
        <f aca="false">ROUND(H114/4,1)</f>
        <v>6</v>
      </c>
      <c r="J114" s="11" t="s">
        <v>47</v>
      </c>
      <c r="K114" s="12" t="s">
        <v>281</v>
      </c>
      <c r="L114" s="13" t="s">
        <v>282</v>
      </c>
    </row>
    <row r="115" customFormat="false" ht="24" hidden="false" customHeight="true" outlineLevel="0" collapsed="false">
      <c r="A115" s="38" t="n">
        <v>5</v>
      </c>
      <c r="B115" s="39" t="s">
        <v>283</v>
      </c>
      <c r="C115" s="40" t="s">
        <v>77</v>
      </c>
      <c r="D115" s="14" t="n">
        <v>6</v>
      </c>
      <c r="E115" s="14" t="n">
        <v>7</v>
      </c>
      <c r="F115" s="14" t="n">
        <v>6</v>
      </c>
      <c r="G115" s="19" t="n">
        <v>5</v>
      </c>
      <c r="H115" s="9" t="n">
        <f aca="false">SUM(D115:G115)</f>
        <v>24</v>
      </c>
      <c r="I115" s="10" t="n">
        <f aca="false">ROUND(H115/4,1)</f>
        <v>6</v>
      </c>
      <c r="J115" s="11" t="s">
        <v>47</v>
      </c>
      <c r="K115" s="12" t="s">
        <v>284</v>
      </c>
      <c r="L115" s="13" t="s">
        <v>285</v>
      </c>
    </row>
    <row r="116" customFormat="false" ht="24" hidden="false" customHeight="true" outlineLevel="0" collapsed="false">
      <c r="A116" s="38" t="n">
        <v>6</v>
      </c>
      <c r="B116" s="39" t="s">
        <v>286</v>
      </c>
      <c r="C116" s="40" t="s">
        <v>16</v>
      </c>
      <c r="D116" s="14" t="n">
        <v>6</v>
      </c>
      <c r="E116" s="14" t="n">
        <v>7</v>
      </c>
      <c r="F116" s="14" t="n">
        <v>6</v>
      </c>
      <c r="G116" s="19" t="n">
        <v>5</v>
      </c>
      <c r="H116" s="9" t="n">
        <f aca="false">SUM(D116:G116)</f>
        <v>24</v>
      </c>
      <c r="I116" s="10" t="n">
        <f aca="false">ROUND(H116/4,1)</f>
        <v>6</v>
      </c>
      <c r="J116" s="11" t="s">
        <v>47</v>
      </c>
      <c r="K116" s="12" t="s">
        <v>287</v>
      </c>
      <c r="L116" s="13" t="s">
        <v>288</v>
      </c>
    </row>
    <row r="117" customFormat="false" ht="24" hidden="false" customHeight="true" outlineLevel="0" collapsed="false">
      <c r="A117" s="38" t="n">
        <v>7</v>
      </c>
      <c r="B117" s="39" t="s">
        <v>289</v>
      </c>
      <c r="C117" s="40" t="s">
        <v>81</v>
      </c>
      <c r="D117" s="19" t="n">
        <v>5</v>
      </c>
      <c r="E117" s="14" t="n">
        <v>6</v>
      </c>
      <c r="F117" s="19" t="n">
        <v>5</v>
      </c>
      <c r="G117" s="19" t="n">
        <v>5</v>
      </c>
      <c r="H117" s="9" t="n">
        <f aca="false">SUM(D117:G117)</f>
        <v>21</v>
      </c>
      <c r="I117" s="10" t="n">
        <f aca="false">ROUND(H117/4,1)</f>
        <v>5.3</v>
      </c>
      <c r="J117" s="11" t="s">
        <v>60</v>
      </c>
      <c r="K117" s="12" t="s">
        <v>290</v>
      </c>
      <c r="L117" s="13" t="s">
        <v>291</v>
      </c>
    </row>
    <row r="118" customFormat="false" ht="24" hidden="false" customHeight="true" outlineLevel="0" collapsed="false">
      <c r="A118" s="38" t="n">
        <v>8</v>
      </c>
      <c r="B118" s="39" t="s">
        <v>292</v>
      </c>
      <c r="C118" s="40" t="s">
        <v>16</v>
      </c>
      <c r="D118" s="19" t="n">
        <v>5</v>
      </c>
      <c r="E118" s="14" t="n">
        <v>6</v>
      </c>
      <c r="F118" s="19" t="n">
        <v>5</v>
      </c>
      <c r="G118" s="19" t="n">
        <v>5</v>
      </c>
      <c r="H118" s="9" t="n">
        <f aca="false">SUM(D118:G118)</f>
        <v>21</v>
      </c>
      <c r="I118" s="10" t="n">
        <f aca="false">ROUND(H118/4,1)</f>
        <v>5.3</v>
      </c>
      <c r="J118" s="11" t="s">
        <v>60</v>
      </c>
      <c r="K118" s="12" t="s">
        <v>290</v>
      </c>
      <c r="L118" s="13" t="s">
        <v>293</v>
      </c>
    </row>
    <row r="119" customFormat="false" ht="24" hidden="false" customHeight="true" outlineLevel="0" collapsed="false">
      <c r="A119" s="38" t="n">
        <v>9</v>
      </c>
      <c r="B119" s="39" t="s">
        <v>294</v>
      </c>
      <c r="C119" s="40" t="s">
        <v>81</v>
      </c>
      <c r="D119" s="19" t="n">
        <v>4</v>
      </c>
      <c r="E119" s="19" t="n">
        <v>5</v>
      </c>
      <c r="F119" s="19" t="n">
        <v>5</v>
      </c>
      <c r="G119" s="19" t="n">
        <v>4</v>
      </c>
      <c r="H119" s="9" t="n">
        <f aca="false">SUM(D119:G119)</f>
        <v>18</v>
      </c>
      <c r="I119" s="10" t="n">
        <f aca="false">ROUND(H119/4,1)</f>
        <v>4.5</v>
      </c>
      <c r="J119" s="11" t="s">
        <v>60</v>
      </c>
      <c r="K119" s="12" t="s">
        <v>295</v>
      </c>
      <c r="L119" s="13" t="s">
        <v>296</v>
      </c>
    </row>
    <row r="120" customFormat="false" ht="24" hidden="false" customHeight="true" outlineLevel="0" collapsed="false">
      <c r="A120" s="38" t="n">
        <v>10</v>
      </c>
      <c r="B120" s="39" t="s">
        <v>297</v>
      </c>
      <c r="C120" s="40" t="s">
        <v>81</v>
      </c>
      <c r="D120" s="19" t="n">
        <v>4</v>
      </c>
      <c r="E120" s="19" t="n">
        <v>5</v>
      </c>
      <c r="F120" s="19" t="n">
        <v>4</v>
      </c>
      <c r="G120" s="19" t="n">
        <v>4</v>
      </c>
      <c r="H120" s="9" t="n">
        <f aca="false">SUM(D120:G120)</f>
        <v>17</v>
      </c>
      <c r="I120" s="10" t="n">
        <f aca="false">ROUND(H120/4,1)</f>
        <v>4.3</v>
      </c>
      <c r="J120" s="11" t="s">
        <v>60</v>
      </c>
      <c r="K120" s="12" t="s">
        <v>298</v>
      </c>
      <c r="L120" s="13" t="s">
        <v>299</v>
      </c>
    </row>
    <row r="121" customFormat="false" ht="24" hidden="false" customHeight="true" outlineLevel="0" collapsed="false">
      <c r="A121" s="38" t="n">
        <v>11</v>
      </c>
      <c r="B121" s="39" t="s">
        <v>300</v>
      </c>
      <c r="C121" s="40" t="s">
        <v>77</v>
      </c>
      <c r="D121" s="19" t="n">
        <v>4</v>
      </c>
      <c r="E121" s="19" t="n">
        <v>5</v>
      </c>
      <c r="F121" s="19" t="n">
        <v>4</v>
      </c>
      <c r="G121" s="19" t="n">
        <v>4</v>
      </c>
      <c r="H121" s="9" t="n">
        <f aca="false">SUM(D121:G121)</f>
        <v>17</v>
      </c>
      <c r="I121" s="10" t="n">
        <f aca="false">ROUND(H121/4,1)</f>
        <v>4.3</v>
      </c>
      <c r="J121" s="11" t="s">
        <v>60</v>
      </c>
      <c r="K121" s="12" t="s">
        <v>301</v>
      </c>
      <c r="L121" s="13" t="s">
        <v>302</v>
      </c>
    </row>
    <row r="122" customFormat="false" ht="24" hidden="false" customHeight="true" outlineLevel="0" collapsed="false">
      <c r="A122" s="38" t="n">
        <v>12</v>
      </c>
      <c r="B122" s="39" t="s">
        <v>303</v>
      </c>
      <c r="C122" s="40" t="s">
        <v>97</v>
      </c>
      <c r="D122" s="19" t="n">
        <v>3</v>
      </c>
      <c r="E122" s="19" t="n">
        <v>4</v>
      </c>
      <c r="F122" s="19" t="n">
        <v>4</v>
      </c>
      <c r="G122" s="19" t="n">
        <v>4</v>
      </c>
      <c r="H122" s="9" t="n">
        <f aca="false">SUM(D122:G122)</f>
        <v>15</v>
      </c>
      <c r="I122" s="10" t="n">
        <f aca="false">ROUND(H122/4,1)</f>
        <v>3.8</v>
      </c>
      <c r="J122" s="11" t="s">
        <v>60</v>
      </c>
      <c r="K122" s="12" t="s">
        <v>304</v>
      </c>
      <c r="L122" s="13" t="s">
        <v>305</v>
      </c>
    </row>
    <row r="123" customFormat="false" ht="24" hidden="false" customHeight="true" outlineLevel="0" collapsed="false">
      <c r="A123" s="38" t="n">
        <v>13</v>
      </c>
      <c r="B123" s="39" t="s">
        <v>306</v>
      </c>
      <c r="C123" s="40" t="s">
        <v>97</v>
      </c>
      <c r="D123" s="19" t="n">
        <v>3</v>
      </c>
      <c r="E123" s="19" t="n">
        <v>4</v>
      </c>
      <c r="F123" s="19" t="n">
        <v>4</v>
      </c>
      <c r="G123" s="19" t="n">
        <v>4</v>
      </c>
      <c r="H123" s="9" t="n">
        <f aca="false">SUM(D123:G123)</f>
        <v>15</v>
      </c>
      <c r="I123" s="10" t="n">
        <f aca="false">ROUND(H123/4,1)</f>
        <v>3.8</v>
      </c>
      <c r="J123" s="11" t="s">
        <v>60</v>
      </c>
      <c r="K123" s="12" t="s">
        <v>307</v>
      </c>
      <c r="L123" s="13" t="s">
        <v>308</v>
      </c>
    </row>
    <row r="124" customFormat="false" ht="24" hidden="false" customHeight="true" outlineLevel="0" collapsed="false">
      <c r="A124" s="38" t="n">
        <v>14</v>
      </c>
      <c r="B124" s="39" t="s">
        <v>309</v>
      </c>
      <c r="C124" s="40" t="s">
        <v>97</v>
      </c>
      <c r="D124" s="19" t="n">
        <v>3</v>
      </c>
      <c r="E124" s="19" t="n">
        <v>4</v>
      </c>
      <c r="F124" s="19" t="n">
        <v>3</v>
      </c>
      <c r="G124" s="19" t="n">
        <v>3</v>
      </c>
      <c r="H124" s="9" t="n">
        <f aca="false">SUM(D124:G124)</f>
        <v>13</v>
      </c>
      <c r="I124" s="10" t="n">
        <f aca="false">ROUND(H124/4,1)</f>
        <v>3.3</v>
      </c>
      <c r="J124" s="11" t="s">
        <v>60</v>
      </c>
      <c r="K124" s="12" t="s">
        <v>310</v>
      </c>
      <c r="L124" s="13" t="s">
        <v>311</v>
      </c>
    </row>
    <row r="126" customFormat="false" ht="27.75" hidden="false" customHeight="true" outlineLevel="0" collapsed="false">
      <c r="A126" s="41" t="s">
        <v>312</v>
      </c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</row>
    <row r="127" customFormat="false" ht="37.5" hidden="false" customHeight="true" outlineLevel="0" collapsed="false">
      <c r="A127" s="4" t="s">
        <v>3</v>
      </c>
      <c r="B127" s="4" t="s">
        <v>4</v>
      </c>
      <c r="C127" s="4" t="s">
        <v>5</v>
      </c>
      <c r="D127" s="4" t="s">
        <v>6</v>
      </c>
      <c r="E127" s="4" t="s">
        <v>7</v>
      </c>
      <c r="F127" s="4" t="s">
        <v>8</v>
      </c>
      <c r="G127" s="4" t="s">
        <v>9</v>
      </c>
      <c r="H127" s="4" t="s">
        <v>10</v>
      </c>
      <c r="I127" s="4" t="s">
        <v>11</v>
      </c>
      <c r="J127" s="4" t="s">
        <v>12</v>
      </c>
      <c r="K127" s="4" t="s">
        <v>13</v>
      </c>
      <c r="L127" s="4" t="s">
        <v>14</v>
      </c>
    </row>
    <row r="128" customFormat="false" ht="24" hidden="false" customHeight="true" outlineLevel="0" collapsed="false">
      <c r="A128" s="42" t="n">
        <v>1</v>
      </c>
      <c r="B128" s="43" t="s">
        <v>313</v>
      </c>
      <c r="C128" s="44" t="s">
        <v>314</v>
      </c>
      <c r="D128" s="8" t="n">
        <v>10</v>
      </c>
      <c r="E128" s="8" t="n">
        <v>9</v>
      </c>
      <c r="F128" s="8" t="n">
        <v>10</v>
      </c>
      <c r="G128" s="8" t="n">
        <v>9</v>
      </c>
      <c r="H128" s="9" t="n">
        <f aca="false">SUM(D128:G128)</f>
        <v>38</v>
      </c>
      <c r="I128" s="10" t="n">
        <f aca="false">ROUND(H128/4,1)</f>
        <v>9.5</v>
      </c>
      <c r="J128" s="11" t="s">
        <v>17</v>
      </c>
      <c r="K128" s="12" t="s">
        <v>315</v>
      </c>
      <c r="L128" s="13" t="s">
        <v>316</v>
      </c>
    </row>
    <row r="129" customFormat="false" ht="24" hidden="false" customHeight="true" outlineLevel="0" collapsed="false">
      <c r="A129" s="42" t="n">
        <v>2</v>
      </c>
      <c r="B129" s="43" t="s">
        <v>317</v>
      </c>
      <c r="C129" s="44" t="s">
        <v>318</v>
      </c>
      <c r="D129" s="8" t="n">
        <v>9</v>
      </c>
      <c r="E129" s="8" t="n">
        <v>8</v>
      </c>
      <c r="F129" s="8" t="n">
        <v>9</v>
      </c>
      <c r="G129" s="8" t="n">
        <v>9</v>
      </c>
      <c r="H129" s="9" t="n">
        <f aca="false">SUM(D129:G129)</f>
        <v>35</v>
      </c>
      <c r="I129" s="10" t="n">
        <f aca="false">ROUND(H129/4,1)</f>
        <v>8.8</v>
      </c>
      <c r="J129" s="11" t="s">
        <v>17</v>
      </c>
      <c r="K129" s="12" t="s">
        <v>319</v>
      </c>
      <c r="L129" s="13" t="s">
        <v>320</v>
      </c>
    </row>
    <row r="130" customFormat="false" ht="24" hidden="false" customHeight="true" outlineLevel="0" collapsed="false">
      <c r="A130" s="42" t="n">
        <v>3</v>
      </c>
      <c r="B130" s="43" t="s">
        <v>321</v>
      </c>
      <c r="C130" s="44" t="s">
        <v>77</v>
      </c>
      <c r="D130" s="8" t="n">
        <v>9</v>
      </c>
      <c r="E130" s="8" t="n">
        <v>8</v>
      </c>
      <c r="F130" s="8" t="n">
        <v>9</v>
      </c>
      <c r="G130" s="8" t="n">
        <v>9</v>
      </c>
      <c r="H130" s="9" t="n">
        <f aca="false">SUM(D130:G130)</f>
        <v>35</v>
      </c>
      <c r="I130" s="10" t="n">
        <f aca="false">ROUND(H130/4,1)</f>
        <v>8.8</v>
      </c>
      <c r="J130" s="11" t="s">
        <v>17</v>
      </c>
      <c r="K130" s="12" t="s">
        <v>322</v>
      </c>
      <c r="L130" s="13" t="s">
        <v>323</v>
      </c>
    </row>
    <row r="131" customFormat="false" ht="24" hidden="false" customHeight="true" outlineLevel="0" collapsed="false">
      <c r="A131" s="42" t="n">
        <v>4</v>
      </c>
      <c r="B131" s="43" t="s">
        <v>324</v>
      </c>
      <c r="C131" s="44" t="s">
        <v>81</v>
      </c>
      <c r="D131" s="8" t="n">
        <v>9</v>
      </c>
      <c r="E131" s="8" t="n">
        <v>8</v>
      </c>
      <c r="F131" s="8" t="n">
        <v>9</v>
      </c>
      <c r="G131" s="8" t="n">
        <v>8</v>
      </c>
      <c r="H131" s="9" t="n">
        <f aca="false">SUM(D131:G131)</f>
        <v>34</v>
      </c>
      <c r="I131" s="10" t="n">
        <f aca="false">ROUND(H131/4,1)</f>
        <v>8.5</v>
      </c>
      <c r="J131" s="11" t="s">
        <v>17</v>
      </c>
      <c r="K131" s="12" t="s">
        <v>325</v>
      </c>
      <c r="L131" s="13" t="s">
        <v>326</v>
      </c>
    </row>
    <row r="132" customFormat="false" ht="24" hidden="false" customHeight="true" outlineLevel="0" collapsed="false">
      <c r="A132" s="42" t="n">
        <v>5</v>
      </c>
      <c r="B132" s="43" t="s">
        <v>327</v>
      </c>
      <c r="C132" s="44" t="s">
        <v>318</v>
      </c>
      <c r="D132" s="8" t="n">
        <v>9</v>
      </c>
      <c r="E132" s="8" t="n">
        <v>8</v>
      </c>
      <c r="F132" s="8" t="n">
        <v>9</v>
      </c>
      <c r="G132" s="8" t="n">
        <v>8</v>
      </c>
      <c r="H132" s="9" t="n">
        <f aca="false">SUM(D132:G132)</f>
        <v>34</v>
      </c>
      <c r="I132" s="10" t="n">
        <f aca="false">ROUND(H132/4,1)</f>
        <v>8.5</v>
      </c>
      <c r="J132" s="11" t="s">
        <v>17</v>
      </c>
      <c r="K132" s="12" t="s">
        <v>328</v>
      </c>
      <c r="L132" s="13" t="s">
        <v>329</v>
      </c>
    </row>
    <row r="133" customFormat="false" ht="24" hidden="false" customHeight="true" outlineLevel="0" collapsed="false">
      <c r="A133" s="42" t="n">
        <v>6</v>
      </c>
      <c r="B133" s="43" t="s">
        <v>330</v>
      </c>
      <c r="C133" s="44" t="s">
        <v>314</v>
      </c>
      <c r="D133" s="8" t="n">
        <v>9</v>
      </c>
      <c r="E133" s="8" t="n">
        <v>8</v>
      </c>
      <c r="F133" s="8" t="n">
        <v>9</v>
      </c>
      <c r="G133" s="8" t="n">
        <v>8</v>
      </c>
      <c r="H133" s="9" t="n">
        <f aca="false">SUM(D133:G133)</f>
        <v>34</v>
      </c>
      <c r="I133" s="10" t="n">
        <f aca="false">ROUND(H133/4,1)</f>
        <v>8.5</v>
      </c>
      <c r="J133" s="11" t="s">
        <v>17</v>
      </c>
      <c r="K133" s="12" t="s">
        <v>331</v>
      </c>
      <c r="L133" s="13" t="s">
        <v>332</v>
      </c>
    </row>
    <row r="134" customFormat="false" ht="24" hidden="false" customHeight="true" outlineLevel="0" collapsed="false">
      <c r="A134" s="42" t="n">
        <v>7</v>
      </c>
      <c r="B134" s="43" t="s">
        <v>333</v>
      </c>
      <c r="C134" s="44" t="s">
        <v>334</v>
      </c>
      <c r="D134" s="8" t="n">
        <v>9</v>
      </c>
      <c r="E134" s="8" t="n">
        <v>9</v>
      </c>
      <c r="F134" s="8" t="n">
        <v>9</v>
      </c>
      <c r="G134" s="14" t="n">
        <v>7</v>
      </c>
      <c r="H134" s="9" t="n">
        <f aca="false">SUM(D134:G134)</f>
        <v>34</v>
      </c>
      <c r="I134" s="10" t="n">
        <f aca="false">ROUND(H134/4,1)</f>
        <v>8.5</v>
      </c>
      <c r="J134" s="11" t="s">
        <v>17</v>
      </c>
      <c r="K134" s="12" t="s">
        <v>335</v>
      </c>
      <c r="L134" s="13" t="s">
        <v>336</v>
      </c>
    </row>
    <row r="135" customFormat="false" ht="24" hidden="false" customHeight="true" outlineLevel="0" collapsed="false">
      <c r="A135" s="42" t="n">
        <v>8</v>
      </c>
      <c r="B135" s="43" t="s">
        <v>337</v>
      </c>
      <c r="C135" s="44" t="s">
        <v>334</v>
      </c>
      <c r="D135" s="8" t="n">
        <v>9</v>
      </c>
      <c r="E135" s="14" t="n">
        <v>7</v>
      </c>
      <c r="F135" s="8" t="n">
        <v>8</v>
      </c>
      <c r="G135" s="8" t="n">
        <v>9</v>
      </c>
      <c r="H135" s="9" t="n">
        <f aca="false">SUM(D135:G135)</f>
        <v>33</v>
      </c>
      <c r="I135" s="10" t="n">
        <f aca="false">ROUND(H135/4,1)</f>
        <v>8.3</v>
      </c>
      <c r="J135" s="11" t="s">
        <v>27</v>
      </c>
      <c r="K135" s="12" t="s">
        <v>338</v>
      </c>
      <c r="L135" s="13" t="s">
        <v>339</v>
      </c>
    </row>
    <row r="136" customFormat="false" ht="24" hidden="false" customHeight="true" outlineLevel="0" collapsed="false">
      <c r="A136" s="42" t="n">
        <v>9</v>
      </c>
      <c r="B136" s="43" t="s">
        <v>340</v>
      </c>
      <c r="C136" s="44" t="s">
        <v>318</v>
      </c>
      <c r="D136" s="8" t="n">
        <v>8</v>
      </c>
      <c r="E136" s="8" t="n">
        <v>8</v>
      </c>
      <c r="F136" s="8" t="n">
        <v>8</v>
      </c>
      <c r="G136" s="8" t="n">
        <v>8</v>
      </c>
      <c r="H136" s="9" t="n">
        <f aca="false">SUM(D136:G136)</f>
        <v>32</v>
      </c>
      <c r="I136" s="10" t="n">
        <f aca="false">ROUND(H136/4,1)</f>
        <v>8</v>
      </c>
      <c r="J136" s="11" t="s">
        <v>27</v>
      </c>
      <c r="K136" s="12" t="s">
        <v>341</v>
      </c>
      <c r="L136" s="13" t="s">
        <v>342</v>
      </c>
    </row>
    <row r="137" customFormat="false" ht="24" hidden="false" customHeight="true" outlineLevel="0" collapsed="false">
      <c r="A137" s="42" t="n">
        <v>10</v>
      </c>
      <c r="B137" s="43" t="s">
        <v>343</v>
      </c>
      <c r="C137" s="44" t="s">
        <v>314</v>
      </c>
      <c r="D137" s="8" t="n">
        <v>8</v>
      </c>
      <c r="E137" s="8" t="n">
        <v>8</v>
      </c>
      <c r="F137" s="8" t="n">
        <v>8</v>
      </c>
      <c r="G137" s="8" t="n">
        <v>8</v>
      </c>
      <c r="H137" s="9" t="n">
        <f aca="false">SUM(D137:G137)</f>
        <v>32</v>
      </c>
      <c r="I137" s="10" t="n">
        <f aca="false">ROUND(H137/4,1)</f>
        <v>8</v>
      </c>
      <c r="J137" s="11" t="s">
        <v>27</v>
      </c>
      <c r="K137" s="12" t="s">
        <v>344</v>
      </c>
      <c r="L137" s="13" t="s">
        <v>345</v>
      </c>
    </row>
    <row r="138" customFormat="false" ht="24" hidden="false" customHeight="true" outlineLevel="0" collapsed="false">
      <c r="A138" s="42" t="n">
        <v>11</v>
      </c>
      <c r="B138" s="43" t="s">
        <v>346</v>
      </c>
      <c r="C138" s="44" t="s">
        <v>81</v>
      </c>
      <c r="D138" s="8" t="n">
        <v>8</v>
      </c>
      <c r="E138" s="8" t="n">
        <v>8</v>
      </c>
      <c r="F138" s="8" t="n">
        <v>8</v>
      </c>
      <c r="G138" s="14" t="n">
        <v>7</v>
      </c>
      <c r="H138" s="9" t="n">
        <f aca="false">SUM(D138:G138)</f>
        <v>31</v>
      </c>
      <c r="I138" s="10" t="n">
        <f aca="false">ROUND(H138/4,1)</f>
        <v>7.8</v>
      </c>
      <c r="J138" s="11" t="s">
        <v>27</v>
      </c>
      <c r="K138" s="12" t="s">
        <v>347</v>
      </c>
      <c r="L138" s="13" t="s">
        <v>348</v>
      </c>
    </row>
    <row r="139" customFormat="false" ht="24" hidden="false" customHeight="true" outlineLevel="0" collapsed="false">
      <c r="A139" s="42" t="n">
        <v>12</v>
      </c>
      <c r="B139" s="43" t="s">
        <v>349</v>
      </c>
      <c r="C139" s="44" t="s">
        <v>318</v>
      </c>
      <c r="D139" s="8" t="n">
        <v>8</v>
      </c>
      <c r="E139" s="8" t="n">
        <v>8</v>
      </c>
      <c r="F139" s="8" t="n">
        <v>8</v>
      </c>
      <c r="G139" s="14" t="n">
        <v>7</v>
      </c>
      <c r="H139" s="9" t="n">
        <f aca="false">SUM(D139:G139)</f>
        <v>31</v>
      </c>
      <c r="I139" s="10" t="n">
        <f aca="false">ROUND(H139/4,1)</f>
        <v>7.8</v>
      </c>
      <c r="J139" s="11" t="s">
        <v>27</v>
      </c>
      <c r="K139" s="12" t="s">
        <v>350</v>
      </c>
      <c r="L139" s="13" t="s">
        <v>351</v>
      </c>
    </row>
    <row r="140" customFormat="false" ht="24" hidden="false" customHeight="true" outlineLevel="0" collapsed="false">
      <c r="A140" s="42" t="n">
        <v>13</v>
      </c>
      <c r="B140" s="43" t="s">
        <v>352</v>
      </c>
      <c r="C140" s="44" t="s">
        <v>314</v>
      </c>
      <c r="D140" s="8" t="n">
        <v>8</v>
      </c>
      <c r="E140" s="8" t="n">
        <v>8</v>
      </c>
      <c r="F140" s="8" t="n">
        <v>8</v>
      </c>
      <c r="G140" s="14" t="n">
        <v>7</v>
      </c>
      <c r="H140" s="9" t="n">
        <f aca="false">SUM(D140:G140)</f>
        <v>31</v>
      </c>
      <c r="I140" s="10" t="n">
        <f aca="false">ROUND(H140/4,1)</f>
        <v>7.8</v>
      </c>
      <c r="J140" s="11" t="s">
        <v>27</v>
      </c>
      <c r="K140" s="12" t="s">
        <v>353</v>
      </c>
      <c r="L140" s="13" t="s">
        <v>354</v>
      </c>
    </row>
    <row r="141" customFormat="false" ht="24" hidden="false" customHeight="true" outlineLevel="0" collapsed="false">
      <c r="A141" s="42" t="n">
        <v>14</v>
      </c>
      <c r="B141" s="43" t="s">
        <v>355</v>
      </c>
      <c r="C141" s="44" t="s">
        <v>334</v>
      </c>
      <c r="D141" s="8" t="n">
        <v>8</v>
      </c>
      <c r="E141" s="8" t="n">
        <v>8</v>
      </c>
      <c r="F141" s="8" t="n">
        <v>8</v>
      </c>
      <c r="G141" s="14" t="n">
        <v>7</v>
      </c>
      <c r="H141" s="9" t="n">
        <f aca="false">SUM(D141:G141)</f>
        <v>31</v>
      </c>
      <c r="I141" s="10" t="n">
        <f aca="false">ROUND(H141/4,1)</f>
        <v>7.8</v>
      </c>
      <c r="J141" s="11" t="s">
        <v>27</v>
      </c>
      <c r="K141" s="12" t="s">
        <v>356</v>
      </c>
      <c r="L141" s="13" t="s">
        <v>357</v>
      </c>
    </row>
    <row r="142" customFormat="false" ht="24" hidden="false" customHeight="true" outlineLevel="0" collapsed="false">
      <c r="A142" s="42" t="n">
        <v>15</v>
      </c>
      <c r="B142" s="43" t="s">
        <v>358</v>
      </c>
      <c r="C142" s="44" t="s">
        <v>334</v>
      </c>
      <c r="D142" s="8" t="n">
        <v>8</v>
      </c>
      <c r="E142" s="8" t="n">
        <v>8</v>
      </c>
      <c r="F142" s="8" t="n">
        <v>8</v>
      </c>
      <c r="G142" s="14" t="n">
        <v>7</v>
      </c>
      <c r="H142" s="9" t="n">
        <f aca="false">SUM(D142:G142)</f>
        <v>31</v>
      </c>
      <c r="I142" s="10" t="n">
        <f aca="false">ROUND(H142/4,1)</f>
        <v>7.8</v>
      </c>
      <c r="J142" s="11" t="s">
        <v>27</v>
      </c>
      <c r="K142" s="12" t="s">
        <v>359</v>
      </c>
      <c r="L142" s="13" t="s">
        <v>360</v>
      </c>
    </row>
    <row r="143" customFormat="false" ht="24" hidden="false" customHeight="true" outlineLevel="0" collapsed="false">
      <c r="A143" s="42" t="n">
        <v>16</v>
      </c>
      <c r="B143" s="43" t="s">
        <v>361</v>
      </c>
      <c r="C143" s="44" t="s">
        <v>362</v>
      </c>
      <c r="D143" s="8" t="n">
        <v>8</v>
      </c>
      <c r="E143" s="14" t="n">
        <v>7</v>
      </c>
      <c r="F143" s="8" t="n">
        <v>8</v>
      </c>
      <c r="G143" s="8" t="n">
        <v>8</v>
      </c>
      <c r="H143" s="9" t="n">
        <f aca="false">SUM(D143:G143)</f>
        <v>31</v>
      </c>
      <c r="I143" s="10" t="n">
        <f aca="false">ROUND(H143/4,1)</f>
        <v>7.8</v>
      </c>
      <c r="J143" s="11" t="s">
        <v>27</v>
      </c>
      <c r="K143" s="12" t="s">
        <v>363</v>
      </c>
      <c r="L143" s="13" t="s">
        <v>364</v>
      </c>
    </row>
    <row r="144" customFormat="false" ht="24" hidden="false" customHeight="true" outlineLevel="0" collapsed="false">
      <c r="A144" s="42" t="n">
        <v>17</v>
      </c>
      <c r="B144" s="43" t="s">
        <v>365</v>
      </c>
      <c r="C144" s="44" t="s">
        <v>77</v>
      </c>
      <c r="D144" s="8" t="n">
        <v>8</v>
      </c>
      <c r="E144" s="14" t="n">
        <v>7</v>
      </c>
      <c r="F144" s="8" t="n">
        <v>8</v>
      </c>
      <c r="G144" s="8" t="n">
        <v>8</v>
      </c>
      <c r="H144" s="9" t="n">
        <f aca="false">SUM(D144:G144)</f>
        <v>31</v>
      </c>
      <c r="I144" s="10" t="n">
        <f aca="false">ROUND(H144/4,1)</f>
        <v>7.8</v>
      </c>
      <c r="J144" s="11" t="s">
        <v>27</v>
      </c>
      <c r="K144" s="12" t="s">
        <v>366</v>
      </c>
      <c r="L144" s="13" t="s">
        <v>367</v>
      </c>
    </row>
    <row r="145" customFormat="false" ht="24" hidden="false" customHeight="true" outlineLevel="0" collapsed="false">
      <c r="A145" s="42" t="n">
        <v>18</v>
      </c>
      <c r="B145" s="43" t="s">
        <v>368</v>
      </c>
      <c r="C145" s="44" t="s">
        <v>77</v>
      </c>
      <c r="D145" s="8" t="n">
        <v>8</v>
      </c>
      <c r="E145" s="8" t="n">
        <v>8</v>
      </c>
      <c r="F145" s="8" t="n">
        <v>8</v>
      </c>
      <c r="G145" s="14" t="n">
        <v>7</v>
      </c>
      <c r="H145" s="9" t="n">
        <f aca="false">SUM(D145:G145)</f>
        <v>31</v>
      </c>
      <c r="I145" s="10" t="n">
        <f aca="false">ROUND(H145/4,1)</f>
        <v>7.8</v>
      </c>
      <c r="J145" s="11" t="s">
        <v>27</v>
      </c>
      <c r="K145" s="12" t="s">
        <v>369</v>
      </c>
      <c r="L145" s="13" t="s">
        <v>370</v>
      </c>
    </row>
    <row r="146" customFormat="false" ht="24" hidden="false" customHeight="true" outlineLevel="0" collapsed="false">
      <c r="A146" s="42" t="n">
        <v>19</v>
      </c>
      <c r="B146" s="43" t="s">
        <v>371</v>
      </c>
      <c r="C146" s="44" t="s">
        <v>97</v>
      </c>
      <c r="D146" s="8" t="n">
        <v>8</v>
      </c>
      <c r="E146" s="14" t="n">
        <v>6</v>
      </c>
      <c r="F146" s="14" t="n">
        <v>7</v>
      </c>
      <c r="G146" s="8" t="n">
        <v>8</v>
      </c>
      <c r="H146" s="9" t="n">
        <f aca="false">SUM(D146:G146)</f>
        <v>29</v>
      </c>
      <c r="I146" s="10" t="n">
        <f aca="false">ROUND(H146/4,1)</f>
        <v>7.3</v>
      </c>
      <c r="J146" s="11" t="s">
        <v>27</v>
      </c>
      <c r="K146" s="12" t="s">
        <v>372</v>
      </c>
      <c r="L146" s="13" t="s">
        <v>373</v>
      </c>
    </row>
    <row r="147" customFormat="false" ht="24" hidden="false" customHeight="true" outlineLevel="0" collapsed="false">
      <c r="A147" s="42" t="n">
        <v>20</v>
      </c>
      <c r="B147" s="43" t="s">
        <v>374</v>
      </c>
      <c r="C147" s="44" t="s">
        <v>97</v>
      </c>
      <c r="D147" s="14" t="n">
        <v>7</v>
      </c>
      <c r="E147" s="14" t="n">
        <v>7</v>
      </c>
      <c r="F147" s="14" t="n">
        <v>7</v>
      </c>
      <c r="G147" s="14" t="n">
        <v>7</v>
      </c>
      <c r="H147" s="9" t="n">
        <f aca="false">SUM(D147:G147)</f>
        <v>28</v>
      </c>
      <c r="I147" s="10" t="n">
        <f aca="false">ROUND(H147/4,1)</f>
        <v>7</v>
      </c>
      <c r="J147" s="11" t="s">
        <v>27</v>
      </c>
      <c r="K147" s="12" t="s">
        <v>375</v>
      </c>
      <c r="L147" s="13" t="s">
        <v>376</v>
      </c>
    </row>
    <row r="148" customFormat="false" ht="24" hidden="false" customHeight="true" outlineLevel="0" collapsed="false">
      <c r="A148" s="42" t="n">
        <v>21</v>
      </c>
      <c r="B148" s="43" t="s">
        <v>377</v>
      </c>
      <c r="C148" s="44" t="s">
        <v>81</v>
      </c>
      <c r="D148" s="14" t="n">
        <v>7</v>
      </c>
      <c r="E148" s="14" t="n">
        <v>7</v>
      </c>
      <c r="F148" s="14" t="n">
        <v>7</v>
      </c>
      <c r="G148" s="14" t="n">
        <v>7</v>
      </c>
      <c r="H148" s="9" t="n">
        <f aca="false">SUM(D148:G148)</f>
        <v>28</v>
      </c>
      <c r="I148" s="10" t="n">
        <f aca="false">ROUND(H148/4,1)</f>
        <v>7</v>
      </c>
      <c r="J148" s="11" t="s">
        <v>27</v>
      </c>
      <c r="K148" s="12" t="s">
        <v>378</v>
      </c>
      <c r="L148" s="13" t="s">
        <v>379</v>
      </c>
    </row>
    <row r="149" customFormat="false" ht="24" hidden="false" customHeight="true" outlineLevel="0" collapsed="false">
      <c r="A149" s="42" t="n">
        <v>22</v>
      </c>
      <c r="B149" s="43" t="s">
        <v>380</v>
      </c>
      <c r="C149" s="44" t="s">
        <v>381</v>
      </c>
      <c r="D149" s="14" t="n">
        <v>7</v>
      </c>
      <c r="E149" s="14" t="n">
        <v>7</v>
      </c>
      <c r="F149" s="14" t="n">
        <v>7</v>
      </c>
      <c r="G149" s="14" t="n">
        <v>7</v>
      </c>
      <c r="H149" s="9" t="n">
        <f aca="false">SUM(D149:G149)</f>
        <v>28</v>
      </c>
      <c r="I149" s="10" t="n">
        <f aca="false">ROUND(H149/4,1)</f>
        <v>7</v>
      </c>
      <c r="J149" s="11" t="s">
        <v>27</v>
      </c>
      <c r="K149" s="12" t="s">
        <v>382</v>
      </c>
      <c r="L149" s="13" t="s">
        <v>383</v>
      </c>
    </row>
    <row r="150" customFormat="false" ht="24" hidden="false" customHeight="true" outlineLevel="0" collapsed="false">
      <c r="A150" s="42" t="n">
        <v>23</v>
      </c>
      <c r="B150" s="43" t="s">
        <v>384</v>
      </c>
      <c r="C150" s="44" t="s">
        <v>381</v>
      </c>
      <c r="D150" s="14" t="n">
        <v>7</v>
      </c>
      <c r="E150" s="14" t="n">
        <v>7</v>
      </c>
      <c r="F150" s="14" t="n">
        <v>7</v>
      </c>
      <c r="G150" s="14" t="n">
        <v>7</v>
      </c>
      <c r="H150" s="9" t="n">
        <f aca="false">SUM(D150:G150)</f>
        <v>28</v>
      </c>
      <c r="I150" s="10" t="n">
        <f aca="false">ROUND(H150/4,1)</f>
        <v>7</v>
      </c>
      <c r="J150" s="11" t="s">
        <v>27</v>
      </c>
      <c r="K150" s="12" t="s">
        <v>385</v>
      </c>
      <c r="L150" s="13" t="s">
        <v>386</v>
      </c>
    </row>
    <row r="151" customFormat="false" ht="24" hidden="false" customHeight="true" outlineLevel="0" collapsed="false">
      <c r="A151" s="42" t="n">
        <v>24</v>
      </c>
      <c r="B151" s="43" t="s">
        <v>387</v>
      </c>
      <c r="C151" s="44" t="s">
        <v>77</v>
      </c>
      <c r="D151" s="14" t="n">
        <v>7</v>
      </c>
      <c r="E151" s="14" t="n">
        <v>7</v>
      </c>
      <c r="F151" s="14" t="n">
        <v>7</v>
      </c>
      <c r="G151" s="14" t="n">
        <v>7</v>
      </c>
      <c r="H151" s="9" t="n">
        <f aca="false">SUM(D151:G151)</f>
        <v>28</v>
      </c>
      <c r="I151" s="10" t="n">
        <f aca="false">ROUND(H151/4,1)</f>
        <v>7</v>
      </c>
      <c r="J151" s="11" t="s">
        <v>27</v>
      </c>
      <c r="K151" s="12" t="s">
        <v>388</v>
      </c>
      <c r="L151" s="13" t="s">
        <v>389</v>
      </c>
    </row>
    <row r="152" customFormat="false" ht="24" hidden="false" customHeight="true" outlineLevel="0" collapsed="false">
      <c r="A152" s="42" t="n">
        <v>25</v>
      </c>
      <c r="B152" s="43" t="s">
        <v>390</v>
      </c>
      <c r="C152" s="44" t="s">
        <v>334</v>
      </c>
      <c r="D152" s="14" t="n">
        <v>7</v>
      </c>
      <c r="E152" s="14" t="n">
        <v>7</v>
      </c>
      <c r="F152" s="14" t="n">
        <v>7</v>
      </c>
      <c r="G152" s="14" t="n">
        <v>6</v>
      </c>
      <c r="H152" s="9" t="n">
        <f aca="false">SUM(D152:G152)</f>
        <v>27</v>
      </c>
      <c r="I152" s="10" t="n">
        <f aca="false">ROUND(H152/4,1)</f>
        <v>6.8</v>
      </c>
      <c r="J152" s="11" t="s">
        <v>47</v>
      </c>
      <c r="K152" s="12" t="s">
        <v>391</v>
      </c>
      <c r="L152" s="13" t="s">
        <v>392</v>
      </c>
    </row>
    <row r="153" customFormat="false" ht="24" hidden="false" customHeight="true" outlineLevel="0" collapsed="false">
      <c r="A153" s="42" t="n">
        <v>26</v>
      </c>
      <c r="B153" s="43" t="s">
        <v>393</v>
      </c>
      <c r="C153" s="44" t="s">
        <v>334</v>
      </c>
      <c r="D153" s="14" t="n">
        <v>7</v>
      </c>
      <c r="E153" s="14" t="n">
        <v>7</v>
      </c>
      <c r="F153" s="14" t="n">
        <v>7</v>
      </c>
      <c r="G153" s="14" t="n">
        <v>6</v>
      </c>
      <c r="H153" s="9" t="n">
        <f aca="false">SUM(D153:G153)</f>
        <v>27</v>
      </c>
      <c r="I153" s="10" t="n">
        <f aca="false">ROUND(H153/4,1)</f>
        <v>6.8</v>
      </c>
      <c r="J153" s="11" t="s">
        <v>47</v>
      </c>
      <c r="K153" s="12" t="s">
        <v>394</v>
      </c>
      <c r="L153" s="13" t="s">
        <v>395</v>
      </c>
    </row>
    <row r="154" customFormat="false" ht="24" hidden="false" customHeight="true" outlineLevel="0" collapsed="false">
      <c r="A154" s="42" t="n">
        <v>27</v>
      </c>
      <c r="B154" s="43" t="s">
        <v>396</v>
      </c>
      <c r="C154" s="44" t="s">
        <v>381</v>
      </c>
      <c r="D154" s="14" t="n">
        <v>7</v>
      </c>
      <c r="E154" s="14" t="n">
        <v>6</v>
      </c>
      <c r="F154" s="14" t="n">
        <v>7</v>
      </c>
      <c r="G154" s="14" t="n">
        <v>7</v>
      </c>
      <c r="H154" s="9" t="n">
        <f aca="false">SUM(D154:G154)</f>
        <v>27</v>
      </c>
      <c r="I154" s="10" t="n">
        <f aca="false">ROUND(H154/4,1)</f>
        <v>6.8</v>
      </c>
      <c r="J154" s="11" t="s">
        <v>47</v>
      </c>
      <c r="K154" s="12" t="s">
        <v>397</v>
      </c>
      <c r="L154" s="13" t="s">
        <v>398</v>
      </c>
    </row>
    <row r="155" customFormat="false" ht="24" hidden="false" customHeight="true" outlineLevel="0" collapsed="false">
      <c r="A155" s="42" t="n">
        <v>28</v>
      </c>
      <c r="B155" s="43" t="s">
        <v>399</v>
      </c>
      <c r="C155" s="44" t="s">
        <v>77</v>
      </c>
      <c r="D155" s="14" t="n">
        <v>7</v>
      </c>
      <c r="E155" s="14" t="n">
        <v>7</v>
      </c>
      <c r="F155" s="14" t="n">
        <v>7</v>
      </c>
      <c r="G155" s="14" t="n">
        <v>6</v>
      </c>
      <c r="H155" s="9" t="n">
        <f aca="false">SUM(D155:G155)</f>
        <v>27</v>
      </c>
      <c r="I155" s="10" t="n">
        <f aca="false">ROUND(H155/4,1)</f>
        <v>6.8</v>
      </c>
      <c r="J155" s="11" t="s">
        <v>47</v>
      </c>
      <c r="K155" s="12" t="s">
        <v>400</v>
      </c>
      <c r="L155" s="13" t="s">
        <v>401</v>
      </c>
    </row>
    <row r="156" customFormat="false" ht="24" hidden="false" customHeight="true" outlineLevel="0" collapsed="false">
      <c r="A156" s="42" t="n">
        <v>29</v>
      </c>
      <c r="B156" s="43" t="s">
        <v>402</v>
      </c>
      <c r="C156" s="44" t="s">
        <v>97</v>
      </c>
      <c r="D156" s="14" t="n">
        <v>6</v>
      </c>
      <c r="E156" s="19" t="n">
        <v>5</v>
      </c>
      <c r="F156" s="14" t="n">
        <v>6</v>
      </c>
      <c r="G156" s="14" t="n">
        <v>6</v>
      </c>
      <c r="H156" s="9" t="n">
        <f aca="false">SUM(D156:G156)</f>
        <v>23</v>
      </c>
      <c r="I156" s="10" t="n">
        <f aca="false">ROUND(H156/4,1)</f>
        <v>5.8</v>
      </c>
      <c r="J156" s="11" t="s">
        <v>47</v>
      </c>
      <c r="K156" s="12" t="s">
        <v>403</v>
      </c>
      <c r="L156" s="13" t="s">
        <v>404</v>
      </c>
    </row>
    <row r="157" customFormat="false" ht="24" hidden="false" customHeight="true" outlineLevel="0" collapsed="false">
      <c r="A157" s="42" t="n">
        <v>30</v>
      </c>
      <c r="B157" s="43" t="s">
        <v>405</v>
      </c>
      <c r="C157" s="44" t="s">
        <v>406</v>
      </c>
      <c r="D157" s="14" t="n">
        <v>6</v>
      </c>
      <c r="E157" s="19" t="n">
        <v>5</v>
      </c>
      <c r="F157" s="14" t="n">
        <v>6</v>
      </c>
      <c r="G157" s="14" t="n">
        <v>6</v>
      </c>
      <c r="H157" s="9" t="n">
        <f aca="false">SUM(D157:G157)</f>
        <v>23</v>
      </c>
      <c r="I157" s="10" t="n">
        <f aca="false">ROUND(H157/4,1)</f>
        <v>5.8</v>
      </c>
      <c r="J157" s="11" t="s">
        <v>47</v>
      </c>
      <c r="K157" s="12" t="s">
        <v>407</v>
      </c>
      <c r="L157" s="13" t="s">
        <v>408</v>
      </c>
    </row>
    <row r="158" customFormat="false" ht="24" hidden="false" customHeight="true" outlineLevel="0" collapsed="false">
      <c r="A158" s="42" t="n">
        <v>31</v>
      </c>
      <c r="B158" s="43" t="s">
        <v>409</v>
      </c>
      <c r="C158" s="44" t="s">
        <v>97</v>
      </c>
      <c r="D158" s="19" t="n">
        <v>5</v>
      </c>
      <c r="E158" s="19" t="n">
        <v>5</v>
      </c>
      <c r="F158" s="19" t="n">
        <v>5</v>
      </c>
      <c r="G158" s="14" t="n">
        <v>6</v>
      </c>
      <c r="H158" s="9" t="n">
        <f aca="false">SUM(D158:G158)</f>
        <v>21</v>
      </c>
      <c r="I158" s="10" t="n">
        <f aca="false">ROUND(H158/4,1)</f>
        <v>5.3</v>
      </c>
      <c r="J158" s="11" t="s">
        <v>60</v>
      </c>
      <c r="K158" s="12" t="s">
        <v>410</v>
      </c>
      <c r="L158" s="13" t="s">
        <v>411</v>
      </c>
    </row>
    <row r="159" customFormat="false" ht="24" hidden="false" customHeight="true" outlineLevel="0" collapsed="false">
      <c r="A159" s="42" t="n">
        <v>32</v>
      </c>
      <c r="B159" s="43" t="s">
        <v>412</v>
      </c>
      <c r="C159" s="44" t="s">
        <v>406</v>
      </c>
      <c r="D159" s="19" t="n">
        <v>5</v>
      </c>
      <c r="E159" s="19" t="n">
        <v>5</v>
      </c>
      <c r="F159" s="19" t="n">
        <v>5</v>
      </c>
      <c r="G159" s="19" t="n">
        <v>5</v>
      </c>
      <c r="H159" s="9" t="n">
        <f aca="false">SUM(D159:G159)</f>
        <v>20</v>
      </c>
      <c r="I159" s="10" t="n">
        <f aca="false">ROUND(H159/4,1)</f>
        <v>5</v>
      </c>
      <c r="J159" s="11" t="s">
        <v>60</v>
      </c>
      <c r="K159" s="12" t="s">
        <v>413</v>
      </c>
      <c r="L159" s="13" t="s">
        <v>414</v>
      </c>
    </row>
  </sheetData>
  <mergeCells count="11">
    <mergeCell ref="A1:L1"/>
    <mergeCell ref="A2:L2"/>
    <mergeCell ref="A4:L4"/>
    <mergeCell ref="A13:L13"/>
    <mergeCell ref="A24:L24"/>
    <mergeCell ref="A41:L41"/>
    <mergeCell ref="A58:L58"/>
    <mergeCell ref="A75:L75"/>
    <mergeCell ref="A92:L92"/>
    <mergeCell ref="A109:L109"/>
    <mergeCell ref="A126:L1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0"/>
  </cols>
  <sheetData>
    <row r="1" customFormat="false" ht="16.15" hidden="false" customHeight="false" outlineLevel="0" collapsed="false">
      <c r="A1" s="45" t="s">
        <v>415</v>
      </c>
    </row>
    <row r="3" customFormat="false" ht="39.75" hidden="false" customHeight="true" outlineLevel="0" collapsed="false">
      <c r="A3" s="46" t="s">
        <v>416</v>
      </c>
      <c r="B3" s="13" t="s">
        <v>417</v>
      </c>
    </row>
    <row r="4" customFormat="false" ht="39.75" hidden="false" customHeight="true" outlineLevel="0" collapsed="false">
      <c r="A4" s="46" t="s">
        <v>418</v>
      </c>
      <c r="B4" s="13" t="s">
        <v>419</v>
      </c>
    </row>
    <row r="5" customFormat="false" ht="39.75" hidden="false" customHeight="true" outlineLevel="0" collapsed="false">
      <c r="A5" s="46" t="s">
        <v>420</v>
      </c>
      <c r="B5" s="13" t="s">
        <v>421</v>
      </c>
    </row>
    <row r="6" customFormat="false" ht="39.75" hidden="false" customHeight="true" outlineLevel="0" collapsed="false">
      <c r="A6" s="46" t="s">
        <v>422</v>
      </c>
      <c r="B6" s="13" t="s">
        <v>423</v>
      </c>
    </row>
    <row r="8" customFormat="false" ht="15" hidden="false" customHeight="false" outlineLevel="0" collapsed="false">
      <c r="A8" s="47" t="s">
        <v>424</v>
      </c>
    </row>
    <row r="9" customFormat="false" ht="15" hidden="false" customHeight="false" outlineLevel="0" collapsed="false">
      <c r="A9" s="48" t="s">
        <v>425</v>
      </c>
      <c r="B9" s="49" t="s">
        <v>426</v>
      </c>
    </row>
    <row r="10" customFormat="false" ht="15" hidden="false" customHeight="false" outlineLevel="0" collapsed="false">
      <c r="A10" s="50" t="s">
        <v>427</v>
      </c>
      <c r="B10" s="49" t="s">
        <v>428</v>
      </c>
    </row>
    <row r="11" customFormat="false" ht="15" hidden="false" customHeight="false" outlineLevel="0" collapsed="false">
      <c r="A11" s="50" t="s">
        <v>429</v>
      </c>
      <c r="B11" s="49" t="s">
        <v>430</v>
      </c>
    </row>
    <row r="12" customFormat="false" ht="15" hidden="false" customHeight="false" outlineLevel="0" collapsed="false">
      <c r="A12" s="51" t="s">
        <v>431</v>
      </c>
      <c r="B12" s="49" t="s">
        <v>432</v>
      </c>
    </row>
    <row r="14" customFormat="false" ht="15" hidden="false" customHeight="false" outlineLevel="0" collapsed="false">
      <c r="A14" s="47" t="s">
        <v>433</v>
      </c>
    </row>
    <row r="15" customFormat="false" ht="15" hidden="false" customHeight="false" outlineLevel="0" collapsed="false">
      <c r="A15" s="49" t="s">
        <v>16</v>
      </c>
      <c r="B15" s="49" t="s">
        <v>434</v>
      </c>
    </row>
    <row r="16" customFormat="false" ht="15" hidden="false" customHeight="false" outlineLevel="0" collapsed="false">
      <c r="A16" s="49" t="s">
        <v>81</v>
      </c>
      <c r="B16" s="49" t="s">
        <v>435</v>
      </c>
    </row>
    <row r="17" customFormat="false" ht="15" hidden="false" customHeight="false" outlineLevel="0" collapsed="false">
      <c r="A17" s="49" t="s">
        <v>97</v>
      </c>
      <c r="B17" s="49" t="s">
        <v>436</v>
      </c>
    </row>
    <row r="18" customFormat="false" ht="15" hidden="false" customHeight="false" outlineLevel="0" collapsed="false">
      <c r="A18" s="49" t="s">
        <v>77</v>
      </c>
      <c r="B18" s="49" t="s">
        <v>437</v>
      </c>
    </row>
    <row r="19" customFormat="false" ht="15" hidden="false" customHeight="false" outlineLevel="0" collapsed="false">
      <c r="A19" s="49" t="s">
        <v>318</v>
      </c>
      <c r="B19" s="49" t="s">
        <v>438</v>
      </c>
    </row>
    <row r="20" customFormat="false" ht="15" hidden="false" customHeight="false" outlineLevel="0" collapsed="false">
      <c r="A20" s="49" t="s">
        <v>314</v>
      </c>
      <c r="B20" s="49" t="s">
        <v>439</v>
      </c>
    </row>
    <row r="21" customFormat="false" ht="15" hidden="false" customHeight="false" outlineLevel="0" collapsed="false">
      <c r="A21" s="49" t="s">
        <v>334</v>
      </c>
      <c r="B21" s="49" t="s">
        <v>440</v>
      </c>
    </row>
    <row r="22" customFormat="false" ht="15" hidden="false" customHeight="false" outlineLevel="0" collapsed="false">
      <c r="A22" s="49" t="s">
        <v>362</v>
      </c>
      <c r="B22" s="49" t="s">
        <v>441</v>
      </c>
    </row>
    <row r="23" customFormat="false" ht="15" hidden="false" customHeight="false" outlineLevel="0" collapsed="false">
      <c r="A23" s="49" t="s">
        <v>381</v>
      </c>
      <c r="B23" s="49" t="s">
        <v>442</v>
      </c>
    </row>
    <row r="24" customFormat="false" ht="15" hidden="false" customHeight="false" outlineLevel="0" collapsed="false">
      <c r="A24" s="49" t="s">
        <v>406</v>
      </c>
      <c r="B24" s="49" t="s">
        <v>443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2026-03-05T12:22:02Z</dcterms:created>
  <dc:creator>openpyxl</dc:creator>
  <dc:description/>
  <dc:language>en-US</dc:language>
  <cp:lastModifiedBy/>
  <dcterms:modified xsi:type="dcterms:W3CDTF">2026-03-05T12:22:02Z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